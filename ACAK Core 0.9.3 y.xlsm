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3 test - y\"/>
    </mc:Choice>
  </mc:AlternateContent>
  <xr:revisionPtr revIDLastSave="0" documentId="13_ncr:1_{ECF1910F-4576-4DFB-9E29-36BE9F3C505D}" xr6:coauthVersionLast="40" xr6:coauthVersionMax="40" xr10:uidLastSave="{00000000-0000-0000-0000-000000000000}"/>
  <bookViews>
    <workbookView xWindow="9060" yWindow="-15" windowWidth="9255" windowHeight="10530" tabRatio="770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F11" i="3" l="1"/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0" i="3" l="1"/>
  <c r="F12" i="3"/>
</calcChain>
</file>

<file path=xl/sharedStrings.xml><?xml version="1.0" encoding="utf-8"?>
<sst xmlns="http://schemas.openxmlformats.org/spreadsheetml/2006/main" count="252" uniqueCount="205">
  <si>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</si>
  <si>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</si>
  <si>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</si>
  <si>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</si>
  <si>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</si>
  <si>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</si>
  <si>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</si>
  <si>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</si>
  <si>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</si>
  <si>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</si>
  <si>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</si>
  <si>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</si>
  <si>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</si>
  <si>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</si>
  <si>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</si>
  <si>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</si>
  <si>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</si>
  <si>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</si>
  <si>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</si>
  <si>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</si>
  <si>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</si>
  <si>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</si>
  <si>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</si>
  <si>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</si>
  <si>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</si>
  <si>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</si>
  <si>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</si>
  <si>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</si>
  <si>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</si>
  <si>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</si>
  <si>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</si>
  <si>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</si>
  <si>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</si>
  <si>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</si>
  <si>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</si>
  <si>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</si>
  <si>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</si>
  <si>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</si>
  <si>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</si>
  <si>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</si>
  <si>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</si>
  <si>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</si>
  <si>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</si>
  <si>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</si>
  <si>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</si>
  <si>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</si>
  <si>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</si>
  <si>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</si>
  <si>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</si>
  <si>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</si>
  <si>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</si>
  <si>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</si>
  <si>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</si>
  <si>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</si>
  <si>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</si>
  <si>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</si>
  <si>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</si>
  <si>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</si>
  <si>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</si>
  <si>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</si>
  <si>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</si>
  <si>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</si>
  <si>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</si>
  <si>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</si>
  <si>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</si>
  <si>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</si>
  <si>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</si>
  <si>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</si>
  <si>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</si>
  <si>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</si>
  <si>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</si>
  <si>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</si>
  <si>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</si>
  <si>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</si>
  <si>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</si>
  <si>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</si>
  <si>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</si>
  <si>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</si>
  <si>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</si>
  <si>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</si>
  <si>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</si>
  <si>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</si>
  <si>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</si>
  <si>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</si>
  <si>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</si>
  <si>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</si>
  <si>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</si>
  <si>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</si>
  <si>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</si>
  <si>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</si>
  <si>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</si>
  <si>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</si>
  <si>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</si>
  <si>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</si>
  <si>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</si>
  <si>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</si>
  <si>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</si>
  <si>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</si>
  <si>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</si>
  <si>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</si>
  <si>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</si>
  <si>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</si>
  <si>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</si>
  <si>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</si>
  <si>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</si>
  <si>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</si>
  <si>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</si>
  <si>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</si>
  <si>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</si>
  <si>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</si>
  <si>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</si>
  <si>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</si>
  <si>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</si>
  <si>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</si>
  <si>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</si>
  <si>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</si>
  <si>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</si>
  <si>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</si>
  <si>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</si>
  <si>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</si>
  <si>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</si>
  <si>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</si>
  <si>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</si>
  <si>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</si>
  <si>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</si>
  <si>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a_ShowPage(PageName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</si>
  <si>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</si>
  <si>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</si>
  <si>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</si>
  <si>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</si>
  <si>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</si>
  <si>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</si>
  <si>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</si>
  <si>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</si>
  <si>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</si>
  <si>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</si>
  <si>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</si>
  <si>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</si>
  <si>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</si>
  <si>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</si>
  <si>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</si>
  <si>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</si>
  <si>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</si>
  <si>
    <t>Plugin Time 0.1.xlsm</t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</si>
  <si>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</si>
  <si>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</si>
  <si>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</si>
  <si>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</si>
  <si>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</si>
  <si>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>Plugin SSFP 0.1.xlsm</t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</si>
  <si>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</si>
  <si>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</si>
  <si>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</si>
  <si>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</si>
  <si>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</si>
  <si>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count08&lt;2?</t>
    <phoneticPr fontId="1" type="noConversion"/>
  </si>
  <si>
    <t>if_IFonCo "G16", "count08", "count05"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</si>
  <si>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</si>
  <si>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</si>
  <si>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</si>
  <si>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</si>
  <si>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</si>
  <si>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</si>
  <si>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</si>
  <si>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</si>
  <si>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</si>
  <si>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</si>
  <si>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</si>
  <si>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</si>
  <si>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</si>
  <si>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</si>
  <si>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</si>
  <si>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</si>
  <si>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</si>
  <si>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</si>
  <si>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</si>
  <si>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</si>
  <si>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</si>
  <si>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</si>
  <si>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</si>
  <si>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pro</t>
    <phoneticPr fontId="1" type="noConversion"/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</si>
  <si>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</si>
  <si>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</si>
  <si>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Done</t>
    <phoneticPr fontId="1" type="noConversion"/>
  </si>
  <si>
    <t>a_AddOne "count07"</t>
    <phoneticPr fontId="1" type="noConversion"/>
  </si>
  <si>
    <t>a_AddOne "count08"</t>
    <phoneticPr fontId="1" type="noConversion"/>
  </si>
  <si>
    <t>a_X8</t>
    <phoneticPr fontId="1" type="noConversion"/>
  </si>
  <si>
    <t>a_BeZero "count08"</t>
    <phoneticPr fontId="1" type="noConversion"/>
  </si>
  <si>
    <t>a_BeZero "count07"</t>
    <phoneticPr fontId="1" type="noConversion"/>
  </si>
  <si>
    <t>count08&gt;=1?</t>
    <phoneticPr fontId="1" type="noConversion"/>
  </si>
  <si>
    <t>.</t>
    <phoneticPr fontId="1" type="noConversion"/>
  </si>
  <si>
    <t>ACAK = Robot based on Excel + VBA</t>
    <phoneticPr fontId="1" type="noConversion"/>
  </si>
  <si>
    <t>a_X8()</t>
  </si>
  <si>
    <t>Folder For Plugin Sub Folder 01</t>
    <phoneticPr fontId="1" type="noConversion"/>
  </si>
  <si>
    <t>Plugin Time 0.2.xlsm</t>
  </si>
  <si>
    <t>a_AddOne(Whichcount As String)</t>
  </si>
  <si>
    <t>0.9.3 x</t>
    <phoneticPr fontId="1" type="noConversion"/>
  </si>
  <si>
    <t>a_IFController()</t>
  </si>
  <si>
    <t>1   运行一次c_IFController, 让IF sensor 都运行一次</t>
  </si>
  <si>
    <t>a_IFController</t>
    <phoneticPr fontId="9" type="noConversion"/>
  </si>
  <si>
    <t>LogLevel</t>
    <phoneticPr fontId="1" type="noConversion"/>
  </si>
  <si>
    <t>Debug;Error;Print;Info</t>
    <phoneticPr fontId="1" type="noConversion"/>
  </si>
  <si>
    <t>Info;Error;Print</t>
    <phoneticPr fontId="1" type="noConversion"/>
  </si>
  <si>
    <t>ACAK Core 0.9.3 y.xlsm - Excel</t>
    <phoneticPr fontId="1" type="noConversion"/>
  </si>
  <si>
    <t>C:\Users\sdupjj\Desktop\folders\vba\ACAK\ACAK Core\ACAK Core 0.9.3 test - y\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</si>
</sst>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11" fillId="16" borderId="2" xfId="0" applyFont="1" applyFill="1" applyBorder="1" applyAlignment="1">
      <alignment horizontal="center"/>
    </xf>
    <xf numFmtId="0" fontId="11" fillId="18" borderId="2" xfId="0" applyFont="1" applyFill="1" applyBorder="1" applyAlignment="1">
      <alignment horizontal="center"/>
    </xf>
    <xf numFmtId="0" fontId="3" fillId="2" borderId="0" xfId="0" applyFont="1" applyFill="1" applyAlignment="1">
      <alignment horizontal="left" vertical="center"/>
    </xf>
    <xf numFmtId="0" fontId="12" fillId="16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5</xdr:col>
      <xdr:colOff>0</xdr:colOff>
      <xdr:row>25</xdr:row>
      <xdr:rowOff>111453</xdr:rowOff>
    </xdr:from>
    <xdr:to>
      <xdr:col>5</xdr:col>
      <xdr:colOff>306000</xdr:colOff>
      <xdr:row>26</xdr:row>
      <xdr:rowOff>133302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8088" y="4728277"/>
          <a:ext cx="306000" cy="2347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317543</xdr:colOff>
      <xdr:row>25</xdr:row>
      <xdr:rowOff>111086</xdr:rowOff>
    </xdr:from>
    <xdr:to>
      <xdr:col>5</xdr:col>
      <xdr:colOff>623543</xdr:colOff>
      <xdr:row>26</xdr:row>
      <xdr:rowOff>133289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485631" y="4727910"/>
          <a:ext cx="306000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643850</xdr:colOff>
      <xdr:row>25</xdr:row>
      <xdr:rowOff>110865</xdr:rowOff>
    </xdr:from>
    <xdr:to>
      <xdr:col>6</xdr:col>
      <xdr:colOff>257341</xdr:colOff>
      <xdr:row>26</xdr:row>
      <xdr:rowOff>133068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11938" y="4727689"/>
          <a:ext cx="722874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Close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169330</xdr:rowOff>
    </xdr:from>
    <xdr:to>
      <xdr:col>5</xdr:col>
      <xdr:colOff>306000</xdr:colOff>
      <xdr:row>27</xdr:row>
      <xdr:rowOff>191177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68088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169330</xdr:rowOff>
    </xdr:from>
    <xdr:to>
      <xdr:col>5</xdr:col>
      <xdr:colOff>649776</xdr:colOff>
      <xdr:row>27</xdr:row>
      <xdr:rowOff>191177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1864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26</xdr:row>
      <xdr:rowOff>169330</xdr:rowOff>
    </xdr:from>
    <xdr:to>
      <xdr:col>5</xdr:col>
      <xdr:colOff>988808</xdr:colOff>
      <xdr:row>27</xdr:row>
      <xdr:rowOff>191177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55640" y="4999065"/>
          <a:ext cx="301256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26</xdr:row>
      <xdr:rowOff>169330</xdr:rowOff>
    </xdr:from>
    <xdr:to>
      <xdr:col>6</xdr:col>
      <xdr:colOff>223930</xdr:colOff>
      <xdr:row>27</xdr:row>
      <xdr:rowOff>191177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194671" y="4999065"/>
          <a:ext cx="30673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28</xdr:row>
      <xdr:rowOff>21853</xdr:rowOff>
    </xdr:from>
    <xdr:to>
      <xdr:col>5</xdr:col>
      <xdr:colOff>306000</xdr:colOff>
      <xdr:row>29</xdr:row>
      <xdr:rowOff>37601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68088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28</xdr:row>
      <xdr:rowOff>21853</xdr:rowOff>
    </xdr:from>
    <xdr:to>
      <xdr:col>5</xdr:col>
      <xdr:colOff>649776</xdr:colOff>
      <xdr:row>29</xdr:row>
      <xdr:rowOff>37601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1864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28</xdr:row>
      <xdr:rowOff>19050</xdr:rowOff>
    </xdr:from>
    <xdr:to>
      <xdr:col>5</xdr:col>
      <xdr:colOff>991800</xdr:colOff>
      <xdr:row>29</xdr:row>
      <xdr:rowOff>34798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7250" y="5200650"/>
          <a:ext cx="306000" cy="225298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>
    <xdr:from>
      <xdr:col>5</xdr:col>
      <xdr:colOff>680358</xdr:colOff>
      <xdr:row>8</xdr:row>
      <xdr:rowOff>54429</xdr:rowOff>
    </xdr:from>
    <xdr:to>
      <xdr:col>8</xdr:col>
      <xdr:colOff>289833</xdr:colOff>
      <xdr:row>8</xdr:row>
      <xdr:rowOff>250373</xdr:rowOff>
    </xdr:to>
    <xdr:sp macro="" textlink="">
      <xdr:nvSpPr>
        <xdr:cNvPr id="2" name="矩形: 剪去对角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4529" y="1191986"/>
          <a:ext cx="1351190" cy="195944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最大允许运行次数</a:t>
          </a:r>
        </a:p>
      </xdr:txBody>
    </xdr:sp>
    <xdr:clientData/>
  </xdr:twoCellAnchor>
  <xdr:twoCellAnchor>
    <xdr:from>
      <xdr:col>5</xdr:col>
      <xdr:colOff>685800</xdr:colOff>
      <xdr:row>9</xdr:row>
      <xdr:rowOff>20411</xdr:rowOff>
    </xdr:from>
    <xdr:to>
      <xdr:col>8</xdr:col>
      <xdr:colOff>295275</xdr:colOff>
      <xdr:row>9</xdr:row>
      <xdr:rowOff>195943</xdr:rowOff>
    </xdr:to>
    <xdr:sp macro="" textlink="">
      <xdr:nvSpPr>
        <xdr:cNvPr id="20" name="矩形: 剪去对角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59971" y="1435554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 </a:t>
          </a:r>
          <a:r>
            <a:rPr lang="zh-CN" altLang="en-US" sz="700">
              <a:solidFill>
                <a:schemeClr val="lt1"/>
              </a:solidFill>
              <a:latin typeface="+mn-lt"/>
              <a:ea typeface="+mn-ea"/>
              <a:cs typeface="+mn-cs"/>
            </a:rPr>
            <a:t>总运行次数</a:t>
          </a:r>
        </a:p>
      </xdr:txBody>
    </xdr:sp>
    <xdr:clientData/>
  </xdr:twoCellAnchor>
  <xdr:twoCellAnchor>
    <xdr:from>
      <xdr:col>5</xdr:col>
      <xdr:colOff>695325</xdr:colOff>
      <xdr:row>10</xdr:row>
      <xdr:rowOff>28576</xdr:rowOff>
    </xdr:from>
    <xdr:to>
      <xdr:col>8</xdr:col>
      <xdr:colOff>304800</xdr:colOff>
      <xdr:row>10</xdr:row>
      <xdr:rowOff>185058</xdr:rowOff>
    </xdr:to>
    <xdr:sp macro="" textlink="">
      <xdr:nvSpPr>
        <xdr:cNvPr id="21" name="矩形: 剪去对角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69496" y="1655990"/>
          <a:ext cx="1351190" cy="15648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单次允许运行次数</a:t>
          </a:r>
        </a:p>
      </xdr:txBody>
    </xdr:sp>
    <xdr:clientData/>
  </xdr:twoCellAnchor>
  <xdr:twoCellAnchor>
    <xdr:from>
      <xdr:col>5</xdr:col>
      <xdr:colOff>702128</xdr:colOff>
      <xdr:row>11</xdr:row>
      <xdr:rowOff>10885</xdr:rowOff>
    </xdr:from>
    <xdr:to>
      <xdr:col>8</xdr:col>
      <xdr:colOff>311603</xdr:colOff>
      <xdr:row>11</xdr:row>
      <xdr:rowOff>186417</xdr:rowOff>
    </xdr:to>
    <xdr:sp macro="" textlink="">
      <xdr:nvSpPr>
        <xdr:cNvPr id="22" name="矩形: 剪去对角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76299" y="1850571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单次运行次数</a:t>
          </a:r>
        </a:p>
      </xdr:txBody>
    </xdr:sp>
    <xdr:clientData/>
  </xdr:twoCellAnchor>
  <xdr:twoCellAnchor>
    <xdr:from>
      <xdr:col>5</xdr:col>
      <xdr:colOff>795130</xdr:colOff>
      <xdr:row>12</xdr:row>
      <xdr:rowOff>16564</xdr:rowOff>
    </xdr:from>
    <xdr:to>
      <xdr:col>6</xdr:col>
      <xdr:colOff>132522</xdr:colOff>
      <xdr:row>14</xdr:row>
      <xdr:rowOff>16565</xdr:rowOff>
    </xdr:to>
    <xdr:sp macro="" textlink="">
      <xdr:nvSpPr>
        <xdr:cNvPr id="24" name="矩形: 剪去对角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69065" y="2037521"/>
          <a:ext cx="455544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PS2:IF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33130</xdr:colOff>
      <xdr:row>6</xdr:row>
      <xdr:rowOff>74544</xdr:rowOff>
    </xdr:from>
    <xdr:to>
      <xdr:col>8</xdr:col>
      <xdr:colOff>223630</xdr:colOff>
      <xdr:row>8</xdr:row>
      <xdr:rowOff>8284</xdr:rowOff>
    </xdr:to>
    <xdr:sp macro="" textlink="">
      <xdr:nvSpPr>
        <xdr:cNvPr id="25" name="矩形: 剪去对角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623391" y="927653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PS2:M00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91108</xdr:colOff>
      <xdr:row>12</xdr:row>
      <xdr:rowOff>24848</xdr:rowOff>
    </xdr:from>
    <xdr:to>
      <xdr:col>8</xdr:col>
      <xdr:colOff>281608</xdr:colOff>
      <xdr:row>14</xdr:row>
      <xdr:rowOff>24849</xdr:rowOff>
    </xdr:to>
    <xdr:sp macro="" textlink="">
      <xdr:nvSpPr>
        <xdr:cNvPr id="26" name="矩形: 剪去对角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81369" y="204580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PS2:M01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99391</xdr:colOff>
      <xdr:row>16</xdr:row>
      <xdr:rowOff>198783</xdr:rowOff>
    </xdr:from>
    <xdr:to>
      <xdr:col>8</xdr:col>
      <xdr:colOff>289891</xdr:colOff>
      <xdr:row>17</xdr:row>
      <xdr:rowOff>198784</xdr:rowOff>
    </xdr:to>
    <xdr:sp macro="" textlink="">
      <xdr:nvSpPr>
        <xdr:cNvPr id="27" name="矩形: 剪去对角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89652" y="284093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PS2:M02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17</xdr:row>
      <xdr:rowOff>49691</xdr:rowOff>
    </xdr:from>
    <xdr:to>
      <xdr:col>2</xdr:col>
      <xdr:colOff>198782</xdr:colOff>
      <xdr:row>18</xdr:row>
      <xdr:rowOff>165648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300658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21</xdr:row>
      <xdr:rowOff>124235</xdr:rowOff>
    </xdr:from>
    <xdr:to>
      <xdr:col>2</xdr:col>
      <xdr:colOff>182217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77686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19</xdr:row>
      <xdr:rowOff>66256</xdr:rowOff>
    </xdr:from>
    <xdr:to>
      <xdr:col>2</xdr:col>
      <xdr:colOff>182218</xdr:colOff>
      <xdr:row>21</xdr:row>
      <xdr:rowOff>8279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3710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24848</xdr:rowOff>
    </xdr:from>
    <xdr:to>
      <xdr:col>2</xdr:col>
      <xdr:colOff>173934</xdr:colOff>
      <xdr:row>16</xdr:row>
      <xdr:rowOff>140805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33870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5</xdr:row>
      <xdr:rowOff>152400</xdr:rowOff>
    </xdr:from>
    <xdr:to>
      <xdr:col>12</xdr:col>
      <xdr:colOff>438150</xdr:colOff>
      <xdr:row>14</xdr:row>
      <xdr:rowOff>173172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00524" y="14001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abSelected="1" topLeftCell="E4" zoomScaleNormal="100" workbookViewId="0">
      <selection activeCell="O22" sqref="O22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5.2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>
      <c r="B4" s="12"/>
    </row>
    <row r="5" spans="1:14" ht="10.5" customHeight="1" x14ac:dyDescent="0.15"/>
    <row r="6" spans="1:14" ht="21.75" customHeight="1" x14ac:dyDescent="0.15">
      <c r="I6" s="41" t="s">
        <v>183</v>
      </c>
      <c r="J6" s="41"/>
      <c r="K6" s="41"/>
      <c r="L6" s="41"/>
    </row>
    <row r="7" spans="1:14" ht="21.75" customHeight="1" x14ac:dyDescent="0.15">
      <c r="A7" s="12" t="s">
        <v>55</v>
      </c>
      <c r="I7" s="23"/>
      <c r="J7" s="23"/>
      <c r="K7" s="23" t="s">
        <v>55</v>
      </c>
      <c r="L7" s="23"/>
      <c r="M7" s="23"/>
      <c r="N7" s="23"/>
    </row>
    <row r="8" spans="1:14" ht="21.75" hidden="1" customHeight="1" thickBot="1" x14ac:dyDescent="0.2"/>
    <row r="9" spans="1:14" ht="21.75" customHeight="1" x14ac:dyDescent="0.15"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0</v>
      </c>
      <c r="I10" s="13">
        <v>0</v>
      </c>
      <c r="J10" s="13">
        <v>0</v>
      </c>
      <c r="K10" s="13">
        <v>0</v>
      </c>
      <c r="L10" s="13">
        <v>0</v>
      </c>
    </row>
    <row r="11" spans="1:14" x14ac:dyDescent="0.15">
      <c r="F11" s="13">
        <f>VLOOKUP("Engine Loop",core_setup!F:G,2,0)</f>
        <v>20</v>
      </c>
      <c r="I11" s="13">
        <v>5</v>
      </c>
      <c r="J11" s="13">
        <v>5</v>
      </c>
      <c r="K11" s="13">
        <v>5</v>
      </c>
      <c r="L11" s="13">
        <v>5</v>
      </c>
    </row>
    <row r="12" spans="1:14" x14ac:dyDescent="0.15">
      <c r="F12" s="13">
        <f>core_count!B2</f>
        <v>0</v>
      </c>
      <c r="I12" s="13">
        <v>0</v>
      </c>
      <c r="J12" s="13">
        <v>0</v>
      </c>
      <c r="K12" s="13">
        <v>0</v>
      </c>
      <c r="L12" s="13">
        <v>0</v>
      </c>
    </row>
    <row r="14" spans="1:14" hidden="1" x14ac:dyDescent="0.15"/>
    <row r="15" spans="1:14" x14ac:dyDescent="0.35">
      <c r="F15" s="13" t="s">
        <v>157</v>
      </c>
      <c r="G15" s="38">
        <v>1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189</v>
      </c>
      <c r="G16" s="39">
        <v>0</v>
      </c>
      <c r="I16" s="13">
        <v>0</v>
      </c>
      <c r="J16" s="13">
        <v>1</v>
      </c>
      <c r="K16" s="13">
        <v>8</v>
      </c>
      <c r="L16" s="13">
        <v>0</v>
      </c>
    </row>
    <row r="19" spans="9:13" x14ac:dyDescent="0.15">
      <c r="I19" s="34" t="s">
        <v>188</v>
      </c>
      <c r="J19" s="34" t="s">
        <v>184</v>
      </c>
      <c r="K19" s="34" t="s">
        <v>184</v>
      </c>
      <c r="L19" s="34" t="s">
        <v>188</v>
      </c>
      <c r="M19" s="37" t="s">
        <v>190</v>
      </c>
    </row>
    <row r="20" spans="9:13" x14ac:dyDescent="0.15">
      <c r="I20" s="34" t="s">
        <v>187</v>
      </c>
      <c r="J20" s="34" t="s">
        <v>185</v>
      </c>
      <c r="K20" s="34" t="s">
        <v>187</v>
      </c>
      <c r="L20" s="34" t="s">
        <v>185</v>
      </c>
      <c r="M20" s="37" t="s">
        <v>190</v>
      </c>
    </row>
    <row r="21" spans="9:13" x14ac:dyDescent="0.15">
      <c r="I21" s="34" t="s">
        <v>91</v>
      </c>
      <c r="J21" s="34" t="s">
        <v>186</v>
      </c>
      <c r="K21" s="34" t="s">
        <v>186</v>
      </c>
      <c r="L21" s="34" t="s">
        <v>91</v>
      </c>
      <c r="M21" s="37" t="s">
        <v>190</v>
      </c>
    </row>
    <row r="22" spans="9:13" x14ac:dyDescent="0.15">
      <c r="I22" s="34" t="s">
        <v>186</v>
      </c>
      <c r="J22" s="34" t="s">
        <v>186</v>
      </c>
      <c r="K22" s="34" t="s">
        <v>186</v>
      </c>
      <c r="L22" s="34" t="s">
        <v>186</v>
      </c>
      <c r="M22" s="37" t="s">
        <v>190</v>
      </c>
    </row>
    <row r="23" spans="9:13" x14ac:dyDescent="0.15">
      <c r="I23" s="34" t="s">
        <v>91</v>
      </c>
      <c r="J23" s="34" t="s">
        <v>186</v>
      </c>
      <c r="K23" s="34" t="s">
        <v>91</v>
      </c>
      <c r="L23" s="34" t="s">
        <v>186</v>
      </c>
      <c r="M23" s="37" t="s">
        <v>190</v>
      </c>
    </row>
    <row r="24" spans="9:13" x14ac:dyDescent="0.15">
      <c r="I24" s="34" t="s">
        <v>186</v>
      </c>
      <c r="J24" s="34" t="s">
        <v>91</v>
      </c>
      <c r="K24" s="34" t="s">
        <v>186</v>
      </c>
      <c r="L24" s="34" t="s">
        <v>91</v>
      </c>
      <c r="M24" s="37" t="s">
        <v>190</v>
      </c>
    </row>
    <row r="25" spans="9:13" x14ac:dyDescent="0.15">
      <c r="I25" s="34" t="s">
        <v>91</v>
      </c>
      <c r="J25" s="34" t="s">
        <v>186</v>
      </c>
      <c r="K25" s="34" t="s">
        <v>186</v>
      </c>
      <c r="L25" s="34" t="s">
        <v>186</v>
      </c>
      <c r="M25" s="37" t="s">
        <v>190</v>
      </c>
    </row>
    <row r="26" spans="9:13" x14ac:dyDescent="0.15">
      <c r="I26" s="34" t="s">
        <v>186</v>
      </c>
      <c r="J26" s="34" t="s">
        <v>186</v>
      </c>
      <c r="K26" s="34" t="s">
        <v>186</v>
      </c>
      <c r="L26" s="34" t="s">
        <v>186</v>
      </c>
      <c r="M26" s="37" t="s">
        <v>190</v>
      </c>
    </row>
    <row r="28" spans="9:13" x14ac:dyDescent="0.15">
      <c r="J28" s="12" t="s">
        <v>87</v>
      </c>
    </row>
  </sheetData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C30" sqref="C30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89</v>
      </c>
      <c r="C2" s="11" t="s">
        <v>152</v>
      </c>
      <c r="D2" s="11">
        <v>1</v>
      </c>
    </row>
    <row r="3" spans="1:4" x14ac:dyDescent="0.15">
      <c r="A3" s="14" t="s">
        <v>151</v>
      </c>
      <c r="B3" s="14" t="s">
        <v>156</v>
      </c>
      <c r="C3" s="11" t="s">
        <v>155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3" sqref="B3"/>
    </sheetView>
  </sheetViews>
  <sheetFormatPr defaultRowHeight="13.5" x14ac:dyDescent="0.15"/>
  <sheetData>
    <row r="1" spans="1:3" x14ac:dyDescent="0.15">
      <c r="A1" t="s">
        <v>13</v>
      </c>
      <c r="B1">
        <v>0</v>
      </c>
      <c r="C1" t="s">
        <v>20</v>
      </c>
    </row>
    <row r="2" spans="1:3" x14ac:dyDescent="0.15">
      <c r="A2" t="s">
        <v>14</v>
      </c>
      <c r="B2">
        <v>0</v>
      </c>
      <c r="C2" t="s">
        <v>21</v>
      </c>
    </row>
    <row r="3" spans="1:3" x14ac:dyDescent="0.15">
      <c r="A3" t="s">
        <v>99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154</v>
      </c>
    </row>
    <row r="6" spans="1:3" x14ac:dyDescent="0.15">
      <c r="A6" t="s">
        <v>88</v>
      </c>
      <c r="B6">
        <v>1</v>
      </c>
      <c r="C6" t="s">
        <v>31</v>
      </c>
    </row>
    <row r="7" spans="1:3" x14ac:dyDescent="0.15">
      <c r="A7" t="s">
        <v>41</v>
      </c>
      <c r="B7">
        <v>2</v>
      </c>
      <c r="C7" t="s">
        <v>32</v>
      </c>
    </row>
    <row r="8" spans="1:3" x14ac:dyDescent="0.15">
      <c r="A8" t="s">
        <v>17</v>
      </c>
      <c r="B8">
        <v>0</v>
      </c>
      <c r="C8" t="s">
        <v>153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pane ySplit="1" topLeftCell="A2" activePane="bottomLeft" state="frozen"/>
      <selection pane="bottomLeft" activeCell="B2" sqref="B2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O10" sqref="O10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182</v>
      </c>
    </row>
    <row r="2" spans="4:8" x14ac:dyDescent="0.15">
      <c r="D2" s="17" t="s">
        <v>92</v>
      </c>
      <c r="H2" s="17" t="s">
        <v>199</v>
      </c>
    </row>
    <row r="3" spans="4:8" x14ac:dyDescent="0.15">
      <c r="D3" s="17" t="s">
        <v>63</v>
      </c>
      <c r="H3" s="17"/>
    </row>
    <row r="4" spans="4:8" x14ac:dyDescent="0.15">
      <c r="D4" s="17" t="s">
        <v>63</v>
      </c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F27" sqref="F27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91</v>
      </c>
      <c r="H2" s="9" t="s">
        <v>91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95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106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="115" zoomScaleNormal="115" workbookViewId="0">
      <selection activeCell="H20" sqref="H20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topLeftCell="C1" workbookViewId="0">
      <selection activeCell="G25" sqref="G25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146</v>
      </c>
      <c r="C1" t="s">
        <v>50</v>
      </c>
    </row>
    <row r="2" spans="1:3" x14ac:dyDescent="0.15">
      <c r="A2">
        <v>1</v>
      </c>
      <c r="B2" t="s">
        <v>147</v>
      </c>
      <c r="C2" s="33" t="s">
        <v>179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showRowColHeaders="0" workbookViewId="0">
      <selection activeCell="C19" sqref="C1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132</v>
      </c>
      <c r="C1" t="s">
        <v>54</v>
      </c>
      <c r="D1" t="s">
        <v>133</v>
      </c>
      <c r="E1" t="s">
        <v>134</v>
      </c>
      <c r="F1" t="s">
        <v>136</v>
      </c>
      <c r="G1" t="s">
        <v>135</v>
      </c>
      <c r="K1" t="s">
        <v>145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zoomScale="85" zoomScaleNormal="85" workbookViewId="0">
      <selection activeCell="I10" sqref="I10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108</v>
      </c>
      <c r="E4" s="26" t="s">
        <v>111</v>
      </c>
      <c r="F4" s="26" t="s">
        <v>148</v>
      </c>
      <c r="G4" s="36">
        <v>27</v>
      </c>
      <c r="H4" s="25"/>
      <c r="I4" s="25" t="s">
        <v>108</v>
      </c>
      <c r="J4" s="27" t="s">
        <v>109</v>
      </c>
      <c r="K4" s="26" t="s">
        <v>112</v>
      </c>
    </row>
    <row r="5" spans="3:11" s="8" customFormat="1" ht="16.5" x14ac:dyDescent="0.15">
      <c r="C5" s="28" t="s">
        <v>110</v>
      </c>
      <c r="D5" s="29" t="s">
        <v>149</v>
      </c>
      <c r="E5" s="31"/>
      <c r="F5" s="30"/>
      <c r="G5" s="30"/>
      <c r="H5" s="28" t="s">
        <v>144</v>
      </c>
      <c r="I5" s="29"/>
      <c r="J5" s="32"/>
      <c r="K5" s="31"/>
    </row>
    <row r="6" spans="3:11" s="8" customFormat="1" ht="16.5" x14ac:dyDescent="0.15">
      <c r="C6" s="30"/>
      <c r="D6" s="29" t="s">
        <v>143</v>
      </c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 t="s">
        <v>194</v>
      </c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150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workbookViewId="0">
      <selection activeCell="C7" sqref="C7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137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29"/>
  <sheetViews>
    <sheetView workbookViewId="0">
      <selection activeCell="D6" sqref="D6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90</v>
      </c>
      <c r="C1" t="s">
        <v>50</v>
      </c>
    </row>
    <row r="2" spans="1:3" x14ac:dyDescent="0.15">
      <c r="A2">
        <v>1</v>
      </c>
      <c r="B2" t="s">
        <v>192</v>
      </c>
      <c r="C2" s="33" t="s">
        <v>158</v>
      </c>
    </row>
    <row r="3" spans="1:3" x14ac:dyDescent="0.15">
      <c r="A3">
        <v>2</v>
      </c>
      <c r="B3" t="s">
        <v>195</v>
      </c>
      <c r="C3" s="33" t="s">
        <v>159</v>
      </c>
    </row>
    <row r="4" spans="1:3" x14ac:dyDescent="0.15">
      <c r="A4">
        <v>3</v>
      </c>
      <c r="B4" t="s">
        <v>113</v>
      </c>
      <c r="C4" s="33" t="s">
        <v>160</v>
      </c>
    </row>
    <row r="5" spans="1:3" x14ac:dyDescent="0.15">
      <c r="A5">
        <v>4</v>
      </c>
      <c r="B5" t="s">
        <v>114</v>
      </c>
      <c r="C5" s="33" t="s">
        <v>161</v>
      </c>
    </row>
    <row r="6" spans="1:3" x14ac:dyDescent="0.15">
      <c r="A6">
        <v>5</v>
      </c>
      <c r="B6" t="s">
        <v>115</v>
      </c>
      <c r="C6" s="33" t="s">
        <v>162</v>
      </c>
    </row>
    <row r="7" spans="1:3" x14ac:dyDescent="0.15">
      <c r="A7">
        <v>6</v>
      </c>
      <c r="B7" t="s">
        <v>116</v>
      </c>
      <c r="C7" s="33" t="s">
        <v>163</v>
      </c>
    </row>
    <row r="8" spans="1:3" x14ac:dyDescent="0.15">
      <c r="A8">
        <v>7</v>
      </c>
      <c r="B8" t="s">
        <v>117</v>
      </c>
      <c r="C8" s="33" t="s">
        <v>164</v>
      </c>
    </row>
    <row r="9" spans="1:3" x14ac:dyDescent="0.15">
      <c r="A9">
        <v>8</v>
      </c>
      <c r="B9" t="s">
        <v>118</v>
      </c>
      <c r="C9" s="33" t="s">
        <v>165</v>
      </c>
    </row>
    <row r="10" spans="1:3" x14ac:dyDescent="0.15">
      <c r="A10">
        <v>9</v>
      </c>
      <c r="B10" t="s">
        <v>119</v>
      </c>
      <c r="C10" s="33" t="s">
        <v>166</v>
      </c>
    </row>
    <row r="11" spans="1:3" x14ac:dyDescent="0.15">
      <c r="A11">
        <v>10</v>
      </c>
      <c r="B11" t="s">
        <v>120</v>
      </c>
      <c r="C11" s="33" t="s">
        <v>167</v>
      </c>
    </row>
    <row r="12" spans="1:3" x14ac:dyDescent="0.15">
      <c r="A12">
        <v>11</v>
      </c>
      <c r="B12" t="s">
        <v>121</v>
      </c>
      <c r="C12" s="33" t="s">
        <v>168</v>
      </c>
    </row>
    <row r="13" spans="1:3" x14ac:dyDescent="0.15">
      <c r="A13">
        <v>12</v>
      </c>
      <c r="B13" t="s">
        <v>122</v>
      </c>
      <c r="C13" s="33" t="s">
        <v>169</v>
      </c>
    </row>
    <row r="14" spans="1:3" x14ac:dyDescent="0.15">
      <c r="A14">
        <v>13</v>
      </c>
      <c r="B14" t="s">
        <v>123</v>
      </c>
      <c r="C14" s="33" t="s">
        <v>170</v>
      </c>
    </row>
    <row r="15" spans="1:3" x14ac:dyDescent="0.15">
      <c r="A15">
        <v>14</v>
      </c>
      <c r="B15" t="s">
        <v>124</v>
      </c>
      <c r="C15" s="33" t="s">
        <v>171</v>
      </c>
    </row>
    <row r="16" spans="1:3" x14ac:dyDescent="0.15">
      <c r="A16">
        <v>15</v>
      </c>
      <c r="B16" t="s">
        <v>125</v>
      </c>
      <c r="C16" s="33" t="s">
        <v>172</v>
      </c>
    </row>
    <row r="17" spans="1:3" x14ac:dyDescent="0.15">
      <c r="A17">
        <v>16</v>
      </c>
      <c r="B17" t="s">
        <v>126</v>
      </c>
      <c r="C17" s="33" t="s">
        <v>173</v>
      </c>
    </row>
    <row r="18" spans="1:3" x14ac:dyDescent="0.15">
      <c r="A18">
        <v>17</v>
      </c>
      <c r="B18" t="s">
        <v>127</v>
      </c>
      <c r="C18" s="33" t="s">
        <v>174</v>
      </c>
    </row>
    <row r="19" spans="1:3" x14ac:dyDescent="0.15">
      <c r="A19">
        <v>18</v>
      </c>
      <c r="B19" t="s">
        <v>128</v>
      </c>
      <c r="C19" s="33" t="s">
        <v>175</v>
      </c>
    </row>
    <row r="20" spans="1:3" x14ac:dyDescent="0.15">
      <c r="A20">
        <v>19</v>
      </c>
      <c r="B20" t="s">
        <v>129</v>
      </c>
      <c r="C20" s="33" t="s">
        <v>176</v>
      </c>
    </row>
    <row r="21" spans="1:3" x14ac:dyDescent="0.15">
      <c r="A21">
        <v>20</v>
      </c>
      <c r="B21" t="s">
        <v>130</v>
      </c>
      <c r="C21" s="33" t="s">
        <v>177</v>
      </c>
    </row>
    <row r="22" spans="1:3" x14ac:dyDescent="0.15">
      <c r="A22">
        <v>21</v>
      </c>
      <c r="B22" t="s">
        <v>131</v>
      </c>
      <c r="C22" s="33" t="s">
        <v>178</v>
      </c>
    </row>
    <row r="23" spans="1:3" x14ac:dyDescent="0.15">
      <c r="A23">
        <v>22</v>
      </c>
      <c r="B23" t="s">
        <v>197</v>
      </c>
      <c r="C23" s="33" t="s">
        <v>198</v>
      </c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81"/>
  <sheetViews>
    <sheetView topLeftCell="E59" zoomScaleNormal="100" workbookViewId="0">
      <selection activeCell="G71" sqref="G71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203</v>
      </c>
    </row>
    <row r="11" spans="6:8" ht="16.5" x14ac:dyDescent="0.15">
      <c r="F11" s="5" t="s">
        <v>1</v>
      </c>
      <c r="G11" s="4" t="s">
        <v>204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20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181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52</v>
      </c>
      <c r="G67" s="4">
        <v>4</v>
      </c>
    </row>
    <row r="69" spans="6:8" ht="16.5" x14ac:dyDescent="0.15">
      <c r="F69" s="5" t="s">
        <v>69</v>
      </c>
      <c r="G69" s="4" t="s">
        <v>25</v>
      </c>
    </row>
    <row r="71" spans="6:8" ht="16.5" x14ac:dyDescent="0.15">
      <c r="F71" s="5" t="s">
        <v>200</v>
      </c>
      <c r="G71" s="4" t="s">
        <v>202</v>
      </c>
      <c r="H71" s="40" t="s">
        <v>201</v>
      </c>
    </row>
    <row r="73" spans="6:8" ht="16.5" x14ac:dyDescent="0.15">
      <c r="F73" s="5" t="s">
        <v>93</v>
      </c>
      <c r="G73" s="4" t="s">
        <v>67</v>
      </c>
    </row>
    <row r="75" spans="6:8" ht="16.5" x14ac:dyDescent="0.15">
      <c r="F75" s="5" t="s">
        <v>94</v>
      </c>
      <c r="G75" s="4" t="s">
        <v>107</v>
      </c>
    </row>
    <row r="77" spans="6:8" ht="16.5" x14ac:dyDescent="0.15">
      <c r="F77" s="5" t="s">
        <v>101</v>
      </c>
      <c r="G77" s="4" t="s">
        <v>102</v>
      </c>
    </row>
    <row r="79" spans="6:8" ht="16.5" x14ac:dyDescent="0.15">
      <c r="F79" s="5" t="s">
        <v>103</v>
      </c>
      <c r="G79" s="4" t="s">
        <v>104</v>
      </c>
    </row>
    <row r="81" spans="6:7" ht="16.5" x14ac:dyDescent="0.15">
      <c r="F81" s="5" t="s">
        <v>193</v>
      </c>
      <c r="G81" s="4" t="s">
        <v>102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zoomScale="85" zoomScaleNormal="85"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180</v>
      </c>
      <c r="E6" s="19" t="s">
        <v>100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79</v>
      </c>
      <c r="C1" t="s">
        <v>80</v>
      </c>
    </row>
    <row r="2" spans="2:3" x14ac:dyDescent="0.15">
      <c r="B2" s="20"/>
      <c r="C2" t="s">
        <v>96</v>
      </c>
    </row>
    <row r="3" spans="2:3" x14ac:dyDescent="0.15">
      <c r="B3" s="20"/>
      <c r="C3" t="s">
        <v>97</v>
      </c>
    </row>
    <row r="4" spans="2:3" x14ac:dyDescent="0.15">
      <c r="C4" t="s">
        <v>98</v>
      </c>
    </row>
    <row r="5" spans="2:3" x14ac:dyDescent="0.15">
      <c r="C5" t="s">
        <v>105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workbookViewId="0">
      <selection activeCell="E16" sqref="E16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81</v>
      </c>
    </row>
    <row r="5" spans="2:2" x14ac:dyDescent="0.15">
      <c r="B5" s="21" t="s">
        <v>191</v>
      </c>
    </row>
    <row r="7" spans="2:2" x14ac:dyDescent="0.15">
      <c r="B7" s="22" t="s">
        <v>138</v>
      </c>
    </row>
    <row r="8" spans="2:2" x14ac:dyDescent="0.15">
      <c r="B8" s="21" t="s">
        <v>82</v>
      </c>
    </row>
    <row r="9" spans="2:2" x14ac:dyDescent="0.15">
      <c r="B9" s="21" t="s">
        <v>83</v>
      </c>
    </row>
    <row r="10" spans="2:2" x14ac:dyDescent="0.15">
      <c r="B10" s="21" t="s">
        <v>84</v>
      </c>
    </row>
    <row r="12" spans="2:2" x14ac:dyDescent="0.15">
      <c r="B12" s="22" t="s">
        <v>139</v>
      </c>
    </row>
    <row r="13" spans="2:2" x14ac:dyDescent="0.15">
      <c r="B13" s="21" t="s">
        <v>140</v>
      </c>
    </row>
    <row r="14" spans="2:2" x14ac:dyDescent="0.15">
      <c r="B14" s="21" t="s">
        <v>141</v>
      </c>
    </row>
    <row r="15" spans="2:2" x14ac:dyDescent="0.15">
      <c r="B15" s="21" t="s">
        <v>142</v>
      </c>
    </row>
    <row r="17" spans="2:3" x14ac:dyDescent="0.15">
      <c r="B17" s="22" t="s">
        <v>85</v>
      </c>
    </row>
    <row r="18" spans="2:3" x14ac:dyDescent="0.15">
      <c r="B18" s="21" t="s">
        <v>86</v>
      </c>
      <c r="C18" s="21" t="s">
        <v>196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2019-01-05T02:12:06Z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