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d\"/>
    </mc:Choice>
  </mc:AlternateContent>
  <xr:revisionPtr revIDLastSave="0" documentId="13_ncr:1_{A76ED650-A735-4DEF-B2F6-BC6113A120BD}" xr6:coauthVersionLast="40" xr6:coauthVersionMax="40" xr10:uidLastSave="{00000000-0000-0000-0000-000000000000}"/>
  <bookViews>
    <workbookView xWindow="9060" yWindow="-15" windowWidth="9255" windowHeight="10530" tabRatio="770" activeTab="15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<sst xmlns="http://schemas.openxmlformats.org/spreadsheetml/2006/main" count="253" uniqueCount="205">
  <si>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</si>
  <si>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</si>
  <si>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</si>
  <si>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</si>
  <si>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</si>
  <si>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</si>
  <si>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</si>
  <si>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</si>
  <si>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</si>
  <si>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</si>
  <si>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</si>
  <si>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</si>
  <si>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</si>
  <si>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</si>
  <si>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</si>
  <si>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</si>
  <si>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</si>
  <si>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</si>
  <si>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</si>
  <si>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</si>
  <si>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</si>
  <si>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</si>
  <si>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</si>
  <si>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</si>
  <si>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</si>
  <si>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</si>
  <si>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</si>
  <si>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</si>
  <si>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</si>
  <si>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</si>
  <si>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</si>
  <si>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</si>
  <si>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</si>
  <si>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</si>
  <si>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</si>
  <si>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</si>
  <si>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</si>
  <si>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</si>
  <si>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</si>
  <si>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</si>
  <si>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</si>
  <si>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</si>
  <si>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</si>
  <si>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</si>
  <si>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</si>
  <si>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</si>
  <si>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</si>
  <si>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</si>
  <si>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</si>
  <si>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</si>
  <si>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</si>
  <si>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</si>
  <si>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</si>
  <si>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</si>
  <si>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</si>
  <si>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</si>
  <si>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</si>
  <si>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</si>
  <si>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</si>
  <si>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</si>
  <si>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</si>
  <si>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</si>
  <si>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</si>
  <si>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</si>
  <si>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</si>
  <si>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</si>
  <si>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</si>
  <si>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</si>
  <si>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</si>
  <si>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</si>
  <si>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</si>
  <si>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</si>
  <si>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</si>
  <si>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</si>
  <si>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</si>
  <si>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</si>
  <si>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</si>
  <si>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</si>
  <si>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</si>
  <si>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</si>
  <si>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</si>
  <si>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</si>
  <si>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</si>
  <si>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</si>
  <si>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</si>
  <si>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</si>
  <si>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</si>
  <si>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</si>
  <si>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</si>
  <si>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</si>
  <si>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</si>
  <si>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</si>
  <si>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</si>
  <si>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</si>
  <si>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</si>
  <si>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</si>
  <si>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</si>
  <si>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</si>
  <si>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</si>
  <si>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</si>
  <si>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</si>
  <si>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</si>
  <si>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</si>
  <si>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</si>
  <si>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</si>
  <si>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</si>
  <si>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</si>
  <si>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</si>
  <si>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</si>
  <si>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</si>
  <si>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</si>
  <si>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</si>
  <si>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</si>
  <si>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</si>
  <si>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</si>
  <si>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</si>
  <si>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</si>
  <si>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</si>
  <si>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</si>
  <si>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</si>
  <si>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</si>
  <si>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</si>
  <si>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</si>
  <si>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</si>
  <si>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</si>
  <si>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</si>
  <si>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</si>
  <si>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</si>
  <si>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</si>
  <si>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</si>
  <si>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</si>
  <si>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</si>
  <si>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</si>
  <si>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</si>
  <si>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</si>
  <si>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</si>
  <si>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</si>
  <si>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</si>
  <si>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</si>
  <si>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</si>
  <si>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</si>
  <si>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</si>
  <si>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</si>
  <si>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</si>
  <si>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</si>
  <si>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</si>
  <si>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</si>
  <si>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</si>
  <si>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</si>
  <si>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</si>
  <si>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</si>
  <si>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</si>
  <si>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</si>
  <si>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</si>
  <si>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</si>
  <si>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</si>
  <si>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</si>
  <si>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</si>
  <si>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</si>
  <si>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</si>
  <si>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</si>
  <si>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</si>
  <si>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</si>
  <si>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</si>
  <si>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</si>
  <si>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</si>
  <si>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</si>
  <si>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</si>
  <si>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</si>
  <si>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</si>
  <si>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</si>
  <si>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</si>
  <si>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</si>
  <si>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</si>
  <si>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</si>
  <si>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</si>
  <si>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</si>
  <si>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</si>
  <si>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</si>
  <si>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</si>
  <si>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</si>
  <si>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</si>
  <si>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</si>
  <si>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</si>
  <si>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</si>
  <si>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</si>
  <si>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</si>
  <si>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</si>
  <si>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</si>
  <si>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count08&lt;1?</t>
    <phoneticPr fontId="1" type="noConversion"/>
  </si>
  <si>
    <t>if_IFonCo "G16", "count08", "count06"</t>
    <phoneticPr fontId="1" type="noConversion"/>
  </si>
  <si>
    <t>Plugin Time 0.3.xlsm</t>
  </si>
  <si>
    <t>0.9.4 d</t>
    <phoneticPr fontId="1" type="noConversion"/>
  </si>
  <si>
    <t>C:\Users\sdupjj\Desktop\folders\vba\ACAK\ACAK Core\ACAK Core 0.9.4 - d\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</si>
  <si>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</si>
  <si>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</si>
  <si>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</si>
  <si>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</si>
  <si>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</si>
  <si>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</si>
  <si>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ACAK Core 0.9.4 d.xlsm - Excel</t>
    <phoneticPr fontId="1" type="noConversion"/>
  </si>
  <si>
    <t>ShowInInfoWindowsLogLevel</t>
    <phoneticPr fontId="1" type="noConversion"/>
  </si>
  <si>
    <t>Info;Error</t>
    <phoneticPr fontId="1" type="noConversion"/>
  </si>
  <si>
    <t>pro</t>
    <phoneticPr fontId="1" type="noConversion"/>
  </si>
  <si>
    <t>Print;Error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</si>
</sst>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M18" sqref="M18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0" t="s">
        <v>197</v>
      </c>
      <c r="J6" s="40"/>
      <c r="K6" s="40"/>
      <c r="L6" s="40"/>
    </row>
    <row r="7" spans="1:14" ht="21.75" customHeight="1" x14ac:dyDescent="0.15">
      <c r="A7" s="12" t="s">
        <v>55</v>
      </c>
      <c r="I7" s="23" t="s">
        <v>55</v>
      </c>
      <c r="J7" s="23"/>
      <c r="K7" s="23"/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7</v>
      </c>
      <c r="I10" s="13">
        <v>2</v>
      </c>
      <c r="J10" s="13">
        <v>2</v>
      </c>
      <c r="K10" s="13">
        <v>2</v>
      </c>
      <c r="L10" s="13">
        <v>1</v>
      </c>
    </row>
    <row r="11" spans="1:14" x14ac:dyDescent="0.15">
      <c r="F11" s="13">
        <f>VLOOKUP("Engine Loop",core_setup!F:G,2,0)</f>
        <v>1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1</v>
      </c>
      <c r="I12" s="13">
        <v>1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153</v>
      </c>
      <c r="G15" s="39">
        <v>0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178</v>
      </c>
      <c r="G16" s="39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194</v>
      </c>
      <c r="J19" s="34" t="s">
        <v>198</v>
      </c>
      <c r="K19" s="34" t="s">
        <v>198</v>
      </c>
      <c r="L19" s="34" t="s">
        <v>194</v>
      </c>
      <c r="M19" s="37" t="s">
        <v>179</v>
      </c>
    </row>
    <row r="20" spans="9:13" x14ac:dyDescent="0.15">
      <c r="I20" s="34" t="s">
        <v>199</v>
      </c>
      <c r="J20" s="34" t="s">
        <v>195</v>
      </c>
      <c r="K20" s="34" t="s">
        <v>199</v>
      </c>
      <c r="L20" s="34" t="s">
        <v>195</v>
      </c>
      <c r="M20" s="37" t="s">
        <v>179</v>
      </c>
    </row>
    <row r="21" spans="9:13" x14ac:dyDescent="0.15">
      <c r="I21" s="34">
        <v>123</v>
      </c>
      <c r="J21" s="34" t="s">
        <v>91</v>
      </c>
      <c r="K21" s="34" t="s">
        <v>91</v>
      </c>
      <c r="L21" s="34" t="s">
        <v>91</v>
      </c>
      <c r="M21" s="37" t="s">
        <v>179</v>
      </c>
    </row>
    <row r="22" spans="9:13" x14ac:dyDescent="0.15">
      <c r="I22" s="34" t="s">
        <v>196</v>
      </c>
      <c r="J22" s="34" t="s">
        <v>196</v>
      </c>
      <c r="K22" s="34" t="s">
        <v>196</v>
      </c>
      <c r="L22" s="34" t="s">
        <v>196</v>
      </c>
      <c r="M22" s="37" t="s">
        <v>179</v>
      </c>
    </row>
    <row r="23" spans="9:13" x14ac:dyDescent="0.15">
      <c r="I23" s="34" t="s">
        <v>196</v>
      </c>
      <c r="J23" s="34" t="s">
        <v>196</v>
      </c>
      <c r="K23" s="34" t="s">
        <v>196</v>
      </c>
      <c r="L23" s="34" t="s">
        <v>196</v>
      </c>
      <c r="M23" s="37" t="s">
        <v>179</v>
      </c>
    </row>
    <row r="24" spans="9:13" x14ac:dyDescent="0.15">
      <c r="I24" s="34" t="s">
        <v>196</v>
      </c>
      <c r="J24" s="34" t="s">
        <v>196</v>
      </c>
      <c r="K24" s="34" t="s">
        <v>196</v>
      </c>
      <c r="L24" s="34" t="s">
        <v>196</v>
      </c>
      <c r="M24" s="37" t="s">
        <v>179</v>
      </c>
    </row>
    <row r="25" spans="9:13" x14ac:dyDescent="0.15">
      <c r="I25" s="34" t="s">
        <v>196</v>
      </c>
      <c r="J25" s="34" t="s">
        <v>196</v>
      </c>
      <c r="K25" s="34" t="s">
        <v>196</v>
      </c>
      <c r="L25" s="34" t="s">
        <v>196</v>
      </c>
      <c r="M25" s="37" t="s">
        <v>179</v>
      </c>
    </row>
    <row r="26" spans="9:13" x14ac:dyDescent="0.15">
      <c r="I26" s="34" t="s">
        <v>196</v>
      </c>
      <c r="J26" s="34" t="s">
        <v>196</v>
      </c>
      <c r="K26" s="34" t="s">
        <v>196</v>
      </c>
      <c r="L26" s="34" t="s">
        <v>196</v>
      </c>
      <c r="M26" s="37" t="s">
        <v>179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showRowColHeaders="0" zoomScale="85" zoomScaleNormal="85" workbookViewId="0">
      <selection activeCell="A6" sqref="A6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150</v>
      </c>
      <c r="D2" s="11">
        <v>1</v>
      </c>
    </row>
    <row r="3" spans="1:4" x14ac:dyDescent="0.15">
      <c r="A3" s="14" t="s">
        <v>149</v>
      </c>
      <c r="B3" s="14" t="s">
        <v>190</v>
      </c>
      <c r="C3" s="11" t="s">
        <v>189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7</v>
      </c>
      <c r="C1" t="s">
        <v>20</v>
      </c>
    </row>
    <row r="2" spans="1:3" x14ac:dyDescent="0.15">
      <c r="A2" t="s">
        <v>14</v>
      </c>
      <c r="B2">
        <v>1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152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  <c r="B8">
        <v>0</v>
      </c>
      <c r="C8" t="s">
        <v>151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showRowColHeaders="0" zoomScale="85" zoomScaleNormal="85" workbookViewId="0">
      <selection activeCell="H9" sqref="H9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177</v>
      </c>
    </row>
    <row r="2" spans="4:8" x14ac:dyDescent="0.15">
      <c r="D2" s="17" t="s">
        <v>92</v>
      </c>
      <c r="H2" s="17" t="s">
        <v>186</v>
      </c>
    </row>
    <row r="3" spans="4:8" x14ac:dyDescent="0.15">
      <c r="D3" s="17" t="s">
        <v>63</v>
      </c>
      <c r="H3" s="17" t="s">
        <v>92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showRowColHeaders="0"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G18" sqref="G18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showRowColHeaders="0" workbookViewId="0">
      <selection activeCell="C10" sqref="C10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145</v>
      </c>
      <c r="C1" t="s">
        <v>50</v>
      </c>
    </row>
    <row r="2" spans="1:3" x14ac:dyDescent="0.15">
      <c r="A2">
        <v>1</v>
      </c>
      <c r="B2" t="s">
        <v>146</v>
      </c>
      <c r="C2" s="33" t="s">
        <v>175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H4" sqref="H4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144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showRowColHeaders="0" topLeftCell="A4" zoomScale="85" zoomScaleNormal="85" workbookViewId="0">
      <selection activeCell="J10" sqref="J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147</v>
      </c>
      <c r="G4" s="36">
        <v>45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191</v>
      </c>
      <c r="E5" s="31"/>
      <c r="F5" s="30"/>
      <c r="G5" s="30"/>
      <c r="H5" s="28" t="s">
        <v>143</v>
      </c>
      <c r="I5" s="29"/>
      <c r="J5" s="32"/>
      <c r="K5" s="31"/>
    </row>
    <row r="6" spans="3:11" s="8" customFormat="1" ht="16.5" x14ac:dyDescent="0.15">
      <c r="C6" s="30"/>
      <c r="D6" s="29"/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148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70" zoomScaleNormal="70" workbookViewId="0">
      <selection activeCell="C5" sqref="C5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B26" sqref="B2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181</v>
      </c>
      <c r="C2" s="33" t="s">
        <v>154</v>
      </c>
    </row>
    <row r="3" spans="1:3" x14ac:dyDescent="0.15">
      <c r="A3">
        <v>2</v>
      </c>
      <c r="B3" t="s">
        <v>183</v>
      </c>
      <c r="C3" s="33" t="s">
        <v>155</v>
      </c>
    </row>
    <row r="4" spans="1:3" x14ac:dyDescent="0.15">
      <c r="A4">
        <v>3</v>
      </c>
      <c r="B4" t="s">
        <v>113</v>
      </c>
      <c r="C4" s="33" t="s">
        <v>156</v>
      </c>
    </row>
    <row r="5" spans="1:3" x14ac:dyDescent="0.15">
      <c r="A5">
        <v>4</v>
      </c>
      <c r="B5" t="s">
        <v>114</v>
      </c>
      <c r="C5" s="33" t="s">
        <v>157</v>
      </c>
    </row>
    <row r="6" spans="1:3" x14ac:dyDescent="0.15">
      <c r="A6">
        <v>5</v>
      </c>
      <c r="B6" t="s">
        <v>115</v>
      </c>
      <c r="C6" s="33" t="s">
        <v>158</v>
      </c>
    </row>
    <row r="7" spans="1:3" x14ac:dyDescent="0.15">
      <c r="A7">
        <v>6</v>
      </c>
      <c r="B7" t="s">
        <v>116</v>
      </c>
      <c r="C7" s="33" t="s">
        <v>159</v>
      </c>
    </row>
    <row r="8" spans="1:3" x14ac:dyDescent="0.15">
      <c r="A8">
        <v>7</v>
      </c>
      <c r="B8" t="s">
        <v>117</v>
      </c>
      <c r="C8" s="33" t="s">
        <v>160</v>
      </c>
    </row>
    <row r="9" spans="1:3" x14ac:dyDescent="0.15">
      <c r="A9">
        <v>8</v>
      </c>
      <c r="B9" t="s">
        <v>118</v>
      </c>
      <c r="C9" s="33" t="s">
        <v>161</v>
      </c>
    </row>
    <row r="10" spans="1:3" x14ac:dyDescent="0.15">
      <c r="A10">
        <v>9</v>
      </c>
      <c r="B10" t="s">
        <v>119</v>
      </c>
      <c r="C10" s="33" t="s">
        <v>162</v>
      </c>
    </row>
    <row r="11" spans="1:3" x14ac:dyDescent="0.15">
      <c r="A11">
        <v>10</v>
      </c>
      <c r="B11" t="s">
        <v>120</v>
      </c>
      <c r="C11" s="33" t="s">
        <v>163</v>
      </c>
    </row>
    <row r="12" spans="1:3" x14ac:dyDescent="0.15">
      <c r="A12">
        <v>11</v>
      </c>
      <c r="B12" t="s">
        <v>121</v>
      </c>
      <c r="C12" s="33" t="s">
        <v>164</v>
      </c>
    </row>
    <row r="13" spans="1:3" x14ac:dyDescent="0.15">
      <c r="A13">
        <v>12</v>
      </c>
      <c r="B13" t="s">
        <v>122</v>
      </c>
      <c r="C13" s="33" t="s">
        <v>165</v>
      </c>
    </row>
    <row r="14" spans="1:3" x14ac:dyDescent="0.15">
      <c r="A14">
        <v>13</v>
      </c>
      <c r="B14" t="s">
        <v>123</v>
      </c>
      <c r="C14" s="33" t="s">
        <v>166</v>
      </c>
    </row>
    <row r="15" spans="1:3" x14ac:dyDescent="0.15">
      <c r="A15">
        <v>14</v>
      </c>
      <c r="B15" t="s">
        <v>124</v>
      </c>
      <c r="C15" s="33" t="s">
        <v>167</v>
      </c>
    </row>
    <row r="16" spans="1:3" x14ac:dyDescent="0.15">
      <c r="A16">
        <v>15</v>
      </c>
      <c r="B16" t="s">
        <v>125</v>
      </c>
      <c r="C16" s="33" t="s">
        <v>168</v>
      </c>
    </row>
    <row r="17" spans="1:3" x14ac:dyDescent="0.15">
      <c r="A17">
        <v>16</v>
      </c>
      <c r="B17" t="s">
        <v>126</v>
      </c>
      <c r="C17" s="33" t="s">
        <v>169</v>
      </c>
    </row>
    <row r="18" spans="1:3" x14ac:dyDescent="0.15">
      <c r="A18">
        <v>17</v>
      </c>
      <c r="B18" t="s">
        <v>127</v>
      </c>
      <c r="C18" s="33" t="s">
        <v>170</v>
      </c>
    </row>
    <row r="19" spans="1:3" x14ac:dyDescent="0.15">
      <c r="A19">
        <v>18</v>
      </c>
      <c r="B19" t="s">
        <v>128</v>
      </c>
      <c r="C19" s="33" t="s">
        <v>171</v>
      </c>
    </row>
    <row r="20" spans="1:3" x14ac:dyDescent="0.15">
      <c r="A20">
        <v>19</v>
      </c>
      <c r="B20" t="s">
        <v>129</v>
      </c>
      <c r="C20" s="33" t="s">
        <v>172</v>
      </c>
    </row>
    <row r="21" spans="1:3" x14ac:dyDescent="0.15">
      <c r="A21">
        <v>20</v>
      </c>
      <c r="B21" t="s">
        <v>130</v>
      </c>
      <c r="C21" s="33" t="s">
        <v>173</v>
      </c>
    </row>
    <row r="22" spans="1:3" x14ac:dyDescent="0.15">
      <c r="A22">
        <v>21</v>
      </c>
      <c r="B22" t="s">
        <v>131</v>
      </c>
      <c r="C22" s="33" t="s">
        <v>174</v>
      </c>
    </row>
    <row r="23" spans="1:3" x14ac:dyDescent="0.15">
      <c r="A23">
        <v>22</v>
      </c>
      <c r="B23" t="s">
        <v>184</v>
      </c>
      <c r="C23" s="33" t="s">
        <v>185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3"/>
  <sheetViews>
    <sheetView topLeftCell="E62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200</v>
      </c>
    </row>
    <row r="11" spans="6:8" ht="16.5" x14ac:dyDescent="0.15">
      <c r="F11" s="5" t="s">
        <v>1</v>
      </c>
      <c r="G11" s="4" t="s">
        <v>193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1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176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187</v>
      </c>
      <c r="G71" s="4" t="s">
        <v>204</v>
      </c>
      <c r="H71" s="38" t="s">
        <v>188</v>
      </c>
    </row>
    <row r="73" spans="6:8" ht="16.5" x14ac:dyDescent="0.15">
      <c r="F73" s="5" t="s">
        <v>201</v>
      </c>
      <c r="G73" s="4" t="s">
        <v>202</v>
      </c>
      <c r="H73" s="38" t="s">
        <v>188</v>
      </c>
    </row>
    <row r="75" spans="6:8" ht="16.5" x14ac:dyDescent="0.15">
      <c r="F75" s="5" t="s">
        <v>93</v>
      </c>
      <c r="G75" s="4" t="s">
        <v>67</v>
      </c>
    </row>
    <row r="77" spans="6:8" ht="16.5" x14ac:dyDescent="0.15">
      <c r="F77" s="5" t="s">
        <v>94</v>
      </c>
      <c r="G77" s="4" t="s">
        <v>107</v>
      </c>
    </row>
    <row r="79" spans="6:8" ht="16.5" x14ac:dyDescent="0.15">
      <c r="F79" s="5" t="s">
        <v>101</v>
      </c>
      <c r="G79" s="4" t="s">
        <v>102</v>
      </c>
    </row>
    <row r="81" spans="6:7" ht="16.5" x14ac:dyDescent="0.15">
      <c r="F81" s="5" t="s">
        <v>103</v>
      </c>
      <c r="G81" s="4" t="s">
        <v>104</v>
      </c>
    </row>
    <row r="83" spans="6:7" ht="16.5" x14ac:dyDescent="0.15">
      <c r="F83" s="5" t="s">
        <v>182</v>
      </c>
      <c r="G83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showRowColHeaders="0"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203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tabSelected="1" workbookViewId="0">
      <selection activeCell="C19" sqref="C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180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192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2019-01-08T12:51:02Z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