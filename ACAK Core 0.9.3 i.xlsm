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 0.9.3 test - i\"/>
    </mc:Choice>
  </mc:AlternateContent>
  <xr:revisionPtr revIDLastSave="0" documentId="13_ncr:1_{9B5DD81E-EBBB-4147-A9A3-78B736334E1A}" xr6:coauthVersionLast="40" xr6:coauthVersionMax="40" xr10:uidLastSave="{00000000-0000-0000-0000-000000000000}"/>
  <bookViews>
    <workbookView xWindow="9060" yWindow="-15" windowWidth="9255" windowHeight="10530" tabRatio="770" activeTab="6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homepage_setup" sheetId="30" state="hidden" r:id="rId8"/>
    <sheet name="core_plugin" sheetId="17" state="hidden" r:id="rId9"/>
    <sheet name="core_debug" sheetId="15" state="hidden" r:id="rId10"/>
    <sheet name="core_actions" sheetId="11" state="hidden" r:id="rId11"/>
    <sheet name="core_setup" sheetId="4" state="hidden" r:id="rId12"/>
    <sheet name="core_display_setup" sheetId="12" state="hidden" r:id="rId13"/>
    <sheet name="core_changelog" sheetId="13" state="hidden" r:id="rId14"/>
    <sheet name="core_about" sheetId="14" state="hidden" r:id="rId15"/>
  </sheets>
  <functionGroups builtInGroupCount="19"/>
  <calcPr calcId="181029"/>
</workbook>
</file>

<file path=xl/calcChain.xml><?xml version="1.0" encoding="utf-8"?>
<calcChain xmlns="http://schemas.openxmlformats.org/spreadsheetml/2006/main">
  <c r="C19" i="30" l="1"/>
  <c r="C20" i="30" s="1"/>
  <c r="C21" i="30" s="1"/>
  <c r="C22" i="30" s="1"/>
  <c r="C23" i="30" s="1"/>
  <c r="C24" i="30" s="1"/>
  <c r="C25" i="30" s="1"/>
  <c r="C12" i="30"/>
  <c r="C13" i="30"/>
  <c r="C14" i="30"/>
  <c r="C15" i="30" s="1"/>
  <c r="C16" i="30" s="1"/>
  <c r="C17" i="30" s="1"/>
  <c r="C11" i="30"/>
  <c r="C4" i="30"/>
  <c r="C5" i="30" s="1"/>
  <c r="C6" i="30" s="1"/>
  <c r="C7" i="30" s="1"/>
  <c r="C8" i="30" s="1"/>
  <c r="C9" i="30" s="1"/>
  <c r="C3" i="30"/>
  <c r="F10" i="3" l="1"/>
  <c r="F12" i="3"/>
  <c r="F9" i="3"/>
</calcChain>
</file>

<file path=xl/sharedStrings.xml><?xml version="1.0" encoding="utf-8"?>
<sst xmlns="http://schemas.openxmlformats.org/spreadsheetml/2006/main" count="208" uniqueCount="185">
  <si>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</si>
  <si>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</si>
  <si>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</si>
  <si>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</si>
  <si>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</si>
  <si>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</si>
  <si>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</si>
  <si>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</si>
  <si>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</si>
  <si>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</si>
  <si>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</si>
  <si>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</si>
  <si>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</si>
  <si>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</si>
  <si>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</si>
  <si>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</si>
  <si>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</si>
  <si>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</si>
  <si>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</si>
  <si>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</si>
  <si>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</si>
  <si>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</si>
  <si>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</si>
  <si>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</si>
  <si>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</si>
  <si>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</si>
  <si>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</si>
  <si>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</si>
  <si>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</si>
  <si>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</si>
  <si>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</si>
  <si>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</si>
  <si>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</si>
  <si>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</si>
  <si>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</si>
  <si>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</si>
  <si>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</si>
  <si>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</si>
  <si>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</si>
  <si>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</si>
  <si>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</si>
  <si>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</si>
  <si>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</si>
  <si>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</si>
  <si>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</si>
  <si>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</si>
  <si>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</si>
  <si>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</si>
  <si>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</si>
  <si>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</si>
  <si>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</si>
  <si>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</si>
  <si>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</si>
  <si>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</si>
  <si>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</si>
  <si>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</si>
  <si>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</si>
  <si>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</si>
  <si>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</si>
  <si>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</si>
  <si>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</si>
  <si>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</si>
  <si>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10" type="noConversion"/>
  </si>
  <si>
    <t>a_BeZero "count02"</t>
    <phoneticPr fontId="10" type="noConversion"/>
  </si>
  <si>
    <t>When One End</t>
    <phoneticPr fontId="10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</si>
  <si>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</si>
  <si>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</si>
  <si>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</si>
  <si>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</si>
  <si>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</si>
  <si>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</si>
  <si>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</si>
  <si>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</si>
  <si>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</si>
  <si>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</si>
  <si>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</si>
  <si>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</si>
  <si>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</si>
  <si>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</si>
  <si>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N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</si>
  <si>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</si>
  <si>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</si>
  <si>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</si>
  <si>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</si>
  <si>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ACAK是一个用来完成一系列自动化操作的程序。依附于excel与vba，是一个机器人。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</si>
  <si>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</si>
  <si>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</si>
  <si>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</si>
  <si>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</si>
  <si>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</si>
  <si>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</si>
  <si>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</si>
  <si>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</si>
  <si>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count07=1?</t>
    <phoneticPr fontId="1" type="noConversion"/>
  </si>
  <si>
    <t>a_BeOne "count07"</t>
    <phoneticPr fontId="1" type="noConversion"/>
  </si>
  <si>
    <t>Action</t>
    <phoneticPr fontId="1" type="noConversion"/>
  </si>
  <si>
    <t>a_X8</t>
    <phoneticPr fontId="1" type="noConversion"/>
  </si>
  <si>
    <t>a_X8</t>
    <phoneticPr fontId="10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</si>
  <si>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</si>
  <si>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</si>
  <si>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</si>
  <si>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a_LoadSetupVariables</t>
    <phoneticPr fontId="1" type="noConversion"/>
  </si>
  <si>
    <t>a_LoadSetupVariables</t>
    <phoneticPr fontId="10" type="noConversion"/>
  </si>
  <si>
    <t>Done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</si>
  <si>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</si>
  <si>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</si>
  <si>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</si>
  <si>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</si>
  <si>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a_AddOne "count07"</t>
    <phoneticPr fontId="1" type="noConversion"/>
  </si>
  <si>
    <t>simple or pro</t>
    <phoneticPr fontId="1" type="noConversion"/>
  </si>
  <si>
    <t>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</si>
  <si>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</si>
  <si>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</si>
  <si>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</si>
  <si>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</si>
  <si>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</si>
  <si>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</si>
  <si>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Plugin Tester 0.0 .xlsm</t>
  </si>
  <si>
    <t>\codes backup\</t>
    <phoneticPr fontId="1" type="noConversion"/>
  </si>
  <si>
    <t>Plugin List</t>
  </si>
  <si>
    <t>Plugin No.</t>
  </si>
  <si>
    <t>Plugin No. :</t>
  </si>
  <si>
    <t>Avaible plugin:</t>
  </si>
  <si>
    <t>Loaded plugin:</t>
  </si>
  <si>
    <t>Need load</t>
    <phoneticPr fontId="1" type="noConversion"/>
  </si>
  <si>
    <t>Need unload</t>
    <phoneticPr fontId="1" type="noConversion"/>
  </si>
  <si>
    <t xml:space="preserve">   空程序</t>
  </si>
  <si>
    <t xml:space="preserve">   为count原有的值增加1</t>
  </si>
  <si>
    <t xml:space="preserve">   为count原有的值减少1</t>
  </si>
  <si>
    <t xml:space="preserve">   设置count的值为0</t>
  </si>
  <si>
    <t xml:space="preserve">   设置count的值为1</t>
  </si>
  <si>
    <t xml:space="preserve">    '   显示备注，which放在图形中</t>
  </si>
  <si>
    <t xml:space="preserve">    '   隐藏备注</t>
  </si>
  <si>
    <t xml:space="preserve">    '   设置one引擎能被打开</t>
  </si>
  <si>
    <t xml:space="preserve">    '   设置one引擎不能被打开</t>
  </si>
  <si>
    <t xml:space="preserve">    '   打开执行动作功能</t>
  </si>
  <si>
    <t xml:space="preserve">    '   关闭执行动作功能</t>
  </si>
  <si>
    <t xml:space="preserve">   把excel工作簿本身的名字，写入 setup</t>
  </si>
  <si>
    <t xml:space="preserve">   是否简单化excelsheet页的显示 让他看上去更像一个程序</t>
  </si>
  <si>
    <t xml:space="preserve">   最大化，最小化，正常化excel工具</t>
  </si>
  <si>
    <t xml:space="preserve">   显示指定的sheet,同时保留welcomepage和homepage，其他页隐藏</t>
  </si>
  <si>
    <t xml:space="preserve">   检查在setup页,指定的文件夹是否存在，不存在则创建</t>
  </si>
  <si>
    <t xml:space="preserve">   将log 页里面的内容加入到TXT中，log页清空</t>
  </si>
  <si>
    <t xml:space="preserve">   将M00 中的值归0</t>
  </si>
  <si>
    <t xml:space="preserve">   设置one引擎的运作次数</t>
  </si>
  <si>
    <t xml:space="preserve">   导出ACAK中所有代码</t>
  </si>
  <si>
    <t xml:space="preserve">   将core_setup中的变量导入公共变量中去</t>
  </si>
  <si>
    <t xml:space="preserve">   将子目录中具有plugin功能的xlsm文件探测出，并在core_plugin中显示，并导入</t>
  </si>
  <si>
    <t>a_X8()</t>
  </si>
  <si>
    <t>a_AddOne(Whichcount As String)</t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</si>
  <si>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</si>
  <si>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</si>
  <si>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</si>
  <si>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</si>
  <si>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</si>
  <si>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</si>
  <si>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</si>
  <si>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</si>
  <si>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</si>
  <si>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</si>
  <si>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</si>
  <si>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</si>
  <si>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</si>
  <si>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</si>
  <si>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</si>
  <si>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</si>
  <si>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</si>
  <si>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</si>
  <si>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a_LoadSetupVariables()</t>
  </si>
  <si>
    <t>a_FindPlugin()</t>
  </si>
  <si>
    <t>Y</t>
    <phoneticPr fontId="1" type="noConversion"/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</si>
  <si>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</si>
  <si>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</si>
  <si>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</si>
  <si>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</si>
  <si>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</si>
  <si>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ACAK Core 0.9.3 i.xlsm - Excel</t>
    <phoneticPr fontId="1" type="noConversion"/>
  </si>
  <si>
    <t>C:\Users\sdupjj\Desktop\folders\vba\ACAK\ACAK Core 0.9.3 test - i\</t>
    <phoneticPr fontId="1" type="noConversion"/>
  </si>
  <si>
    <t>Export codes of sheets, windows, modules to sub-folder “codes backup”.</t>
    <phoneticPr fontId="1" type="noConversion"/>
  </si>
  <si>
    <t>0.9.3 i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</si>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</sst>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8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10" borderId="0" xfId="0" applyFont="1" applyFill="1">
      <alignment vertical="center"/>
    </xf>
    <xf numFmtId="0" fontId="9" fillId="12" borderId="0" xfId="0" applyFont="1" applyFill="1" applyAlignment="1"/>
    <xf numFmtId="0" fontId="0" fillId="3" borderId="0" xfId="0" applyFill="1" applyAlignment="1"/>
    <xf numFmtId="0" fontId="0" fillId="13" borderId="0" xfId="0" applyFill="1">
      <alignment vertical="center"/>
    </xf>
    <xf numFmtId="0" fontId="2" fillId="13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1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9" fillId="14" borderId="2" xfId="0" applyFont="1" applyFill="1" applyBorder="1" applyAlignment="1">
      <alignment horizontal="center"/>
    </xf>
    <xf numFmtId="0" fontId="6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vertical="center"/>
    </xf>
    <xf numFmtId="0" fontId="11" fillId="10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6" fillId="17" borderId="0" xfId="0" applyFont="1" applyFill="1">
      <alignment vertical="center"/>
    </xf>
    <xf numFmtId="0" fontId="8" fillId="14" borderId="0" xfId="0" applyFont="1" applyFill="1" applyBorder="1" applyAlignment="1">
      <alignment horizontal="center" vertical="center"/>
    </xf>
    <xf numFmtId="0" fontId="8" fillId="9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770461</xdr:colOff>
      <xdr:row>18</xdr:row>
      <xdr:rowOff>178694</xdr:rowOff>
    </xdr:from>
    <xdr:to>
      <xdr:col>7</xdr:col>
      <xdr:colOff>291693</xdr:colOff>
      <xdr:row>21</xdr:row>
      <xdr:rowOff>58898</xdr:rowOff>
    </xdr:to>
    <xdr:sp macro="[0]!c_IFController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354" y="3197678"/>
          <a:ext cx="663049" cy="5013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68036</xdr:colOff>
      <xdr:row>18</xdr:row>
      <xdr:rowOff>189900</xdr:rowOff>
    </xdr:from>
    <xdr:to>
      <xdr:col>5</xdr:col>
      <xdr:colOff>751411</xdr:colOff>
      <xdr:row>21</xdr:row>
      <xdr:rowOff>59598</xdr:rowOff>
    </xdr:to>
    <xdr:sp macro="[0]!c_one" textlink="">
      <xdr:nvSpPr>
        <xdr:cNvPr id="3" name="Rectangl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4929" y="3208884"/>
          <a:ext cx="683375" cy="490824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68036</xdr:colOff>
      <xdr:row>21</xdr:row>
      <xdr:rowOff>71504</xdr:rowOff>
    </xdr:from>
    <xdr:to>
      <xdr:col>5</xdr:col>
      <xdr:colOff>751791</xdr:colOff>
      <xdr:row>23</xdr:row>
      <xdr:rowOff>178422</xdr:rowOff>
    </xdr:to>
    <xdr:sp macro="[0]!a_OpenOne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4929" y="3711614"/>
          <a:ext cx="683755" cy="50632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21</xdr:row>
      <xdr:rowOff>83410</xdr:rowOff>
    </xdr:from>
    <xdr:to>
      <xdr:col>7</xdr:col>
      <xdr:colOff>294690</xdr:colOff>
      <xdr:row>23</xdr:row>
      <xdr:rowOff>181988</xdr:rowOff>
    </xdr:to>
    <xdr:sp macro="[0]!a_OpenActions" textlink="">
      <xdr:nvSpPr>
        <xdr:cNvPr id="5" name="Rectangle 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44749" y="3723520"/>
          <a:ext cx="668651" cy="49798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Off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68036</xdr:colOff>
      <xdr:row>24</xdr:row>
      <xdr:rowOff>1801</xdr:rowOff>
    </xdr:from>
    <xdr:to>
      <xdr:col>5</xdr:col>
      <xdr:colOff>751791</xdr:colOff>
      <xdr:row>26</xdr:row>
      <xdr:rowOff>59224</xdr:rowOff>
    </xdr:to>
    <xdr:sp macro="[0]!a_CloseOne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4929" y="4245429"/>
          <a:ext cx="683755" cy="474442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24</xdr:row>
      <xdr:rowOff>2599</xdr:rowOff>
    </xdr:from>
    <xdr:to>
      <xdr:col>7</xdr:col>
      <xdr:colOff>294690</xdr:colOff>
      <xdr:row>26</xdr:row>
      <xdr:rowOff>55660</xdr:rowOff>
    </xdr:to>
    <xdr:sp macro="[0]!a_CloseActions" textlink="">
      <xdr:nvSpPr>
        <xdr:cNvPr id="7" name="Rectangl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44749" y="4251670"/>
          <a:ext cx="668651" cy="464637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oneCell">
    <xdr:from>
      <xdr:col>5</xdr:col>
      <xdr:colOff>823875</xdr:colOff>
      <xdr:row>9</xdr:row>
      <xdr:rowOff>27535</xdr:rowOff>
    </xdr:from>
    <xdr:to>
      <xdr:col>8</xdr:col>
      <xdr:colOff>592830</xdr:colOff>
      <xdr:row>10</xdr:row>
      <xdr:rowOff>43223</xdr:rowOff>
    </xdr:to>
    <xdr:sp macro="" textlink="">
      <xdr:nvSpPr>
        <xdr:cNvPr id="8" name="五边形 7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flipH="1">
          <a:off x="991963" y="1450682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ACAK </a:t>
          </a:r>
          <a:r>
            <a:rPr lang="zh-CN" altLang="en-US" sz="700" baseline="0"/>
            <a:t>启动后运行次数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811626</xdr:colOff>
      <xdr:row>10</xdr:row>
      <xdr:rowOff>206188</xdr:rowOff>
    </xdr:from>
    <xdr:to>
      <xdr:col>8</xdr:col>
      <xdr:colOff>580581</xdr:colOff>
      <xdr:row>12</xdr:row>
      <xdr:rowOff>8965</xdr:rowOff>
    </xdr:to>
    <xdr:sp macro="" textlink="">
      <xdr:nvSpPr>
        <xdr:cNvPr id="9" name="五边形 8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flipH="1">
          <a:off x="979714" y="1842247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ONE</a:t>
          </a:r>
          <a:r>
            <a:rPr lang="zh-CN" altLang="en-US" sz="700" baseline="0"/>
            <a:t>引擎运行次数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786611</xdr:colOff>
      <xdr:row>7</xdr:row>
      <xdr:rowOff>19168</xdr:rowOff>
    </xdr:from>
    <xdr:to>
      <xdr:col>8</xdr:col>
      <xdr:colOff>555566</xdr:colOff>
      <xdr:row>8</xdr:row>
      <xdr:rowOff>228600</xdr:rowOff>
    </xdr:to>
    <xdr:sp macro="" textlink="">
      <xdr:nvSpPr>
        <xdr:cNvPr id="10" name="五边形 9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flipH="1">
          <a:off x="960546" y="781168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en-US" altLang="zh-CN" sz="500" baseline="0"/>
            <a:t>ONE</a:t>
          </a:r>
          <a:r>
            <a:rPr lang="zh-CN" altLang="en-US" sz="500" baseline="0"/>
            <a:t>引擎最大单次允许运行次数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7</xdr:row>
      <xdr:rowOff>231914</xdr:rowOff>
    </xdr:from>
    <xdr:to>
      <xdr:col>11</xdr:col>
      <xdr:colOff>612937</xdr:colOff>
      <xdr:row>8</xdr:row>
      <xdr:rowOff>235421</xdr:rowOff>
    </xdr:to>
    <xdr:sp macro="" textlink="">
      <xdr:nvSpPr>
        <xdr:cNvPr id="11" name="五边形 10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5660748" y="993914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8</xdr:row>
      <xdr:rowOff>223631</xdr:rowOff>
    </xdr:from>
    <xdr:to>
      <xdr:col>11</xdr:col>
      <xdr:colOff>612937</xdr:colOff>
      <xdr:row>9</xdr:row>
      <xdr:rowOff>178905</xdr:rowOff>
    </xdr:to>
    <xdr:sp macro="" textlink="">
      <xdr:nvSpPr>
        <xdr:cNvPr id="12" name="五边形 11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flipH="1">
          <a:off x="5660748" y="1258957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66261</xdr:colOff>
      <xdr:row>9</xdr:row>
      <xdr:rowOff>198783</xdr:rowOff>
    </xdr:from>
    <xdr:to>
      <xdr:col>11</xdr:col>
      <xdr:colOff>617493</xdr:colOff>
      <xdr:row>11</xdr:row>
      <xdr:rowOff>13251</xdr:rowOff>
    </xdr:to>
    <xdr:sp macro="" textlink="">
      <xdr:nvSpPr>
        <xdr:cNvPr id="13" name="五边形 12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flipH="1">
          <a:off x="5665304" y="1507435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74544</xdr:colOff>
      <xdr:row>11</xdr:row>
      <xdr:rowOff>41413</xdr:rowOff>
    </xdr:from>
    <xdr:to>
      <xdr:col>11</xdr:col>
      <xdr:colOff>625776</xdr:colOff>
      <xdr:row>12</xdr:row>
      <xdr:rowOff>62949</xdr:rowOff>
    </xdr:to>
    <xdr:sp macro="" textlink="">
      <xdr:nvSpPr>
        <xdr:cNvPr id="14" name="五边形 1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flipH="1">
          <a:off x="5673587" y="1764196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单次运行次数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15</xdr:row>
      <xdr:rowOff>0</xdr:rowOff>
    </xdr:from>
    <xdr:to>
      <xdr:col>8</xdr:col>
      <xdr:colOff>483454</xdr:colOff>
      <xdr:row>19</xdr:row>
      <xdr:rowOff>15227</xdr:rowOff>
    </xdr:to>
    <xdr:sp macro="" textlink="">
      <xdr:nvSpPr>
        <xdr:cNvPr id="15" name="五边形 1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5400000" flipH="1" flipV="1">
          <a:off x="1772296" y="3318653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6" name="五边形 15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 rot="5400000" flipH="1" flipV="1">
          <a:off x="2446809" y="3314174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7" name="五边形 16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5400000" flipH="1" flipV="1">
          <a:off x="3116843" y="3301036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8" name="五边形 17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5400000" flipH="1" flipV="1">
          <a:off x="3631876" y="3342344"/>
          <a:ext cx="86742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26</xdr:row>
      <xdr:rowOff>87197</xdr:rowOff>
    </xdr:from>
    <xdr:to>
      <xdr:col>5</xdr:col>
      <xdr:colOff>372483</xdr:colOff>
      <xdr:row>27</xdr:row>
      <xdr:rowOff>110290</xdr:rowOff>
    </xdr:to>
    <xdr:sp macro="[0]!'a_ShapeShow &quot;PS1&quot;'" textlink="">
      <xdr:nvSpPr>
        <xdr:cNvPr id="19" name="Rectangle 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36930" y="4864736"/>
          <a:ext cx="306000" cy="23364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384026</xdr:colOff>
      <xdr:row>26</xdr:row>
      <xdr:rowOff>86830</xdr:rowOff>
    </xdr:from>
    <xdr:to>
      <xdr:col>5</xdr:col>
      <xdr:colOff>690026</xdr:colOff>
      <xdr:row>27</xdr:row>
      <xdr:rowOff>110277</xdr:rowOff>
    </xdr:to>
    <xdr:sp macro="[0]!'a_ShapeShow &quot;PS2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54473" y="4864369"/>
          <a:ext cx="306000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710333</xdr:colOff>
      <xdr:row>26</xdr:row>
      <xdr:rowOff>86609</xdr:rowOff>
    </xdr:from>
    <xdr:to>
      <xdr:col>7</xdr:col>
      <xdr:colOff>300790</xdr:colOff>
      <xdr:row>27</xdr:row>
      <xdr:rowOff>110056</xdr:rowOff>
    </xdr:to>
    <xdr:sp macro="[0]!a_ShapeHide" textlink="">
      <xdr:nvSpPr>
        <xdr:cNvPr id="21" name="Rectangl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80780" y="4864148"/>
          <a:ext cx="723431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86849</xdr:colOff>
      <xdr:row>3</xdr:row>
      <xdr:rowOff>22412</xdr:rowOff>
    </xdr:from>
    <xdr:to>
      <xdr:col>5</xdr:col>
      <xdr:colOff>762001</xdr:colOff>
      <xdr:row>3</xdr:row>
      <xdr:rowOff>414618</xdr:rowOff>
    </xdr:to>
    <xdr:sp macro="[0]!'a_ShowPage &quot;core_homepage&quot;'" textlink="">
      <xdr:nvSpPr>
        <xdr:cNvPr id="22" name="右箭头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6200000">
          <a:off x="396410" y="-119061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oneCell">
    <xdr:from>
      <xdr:col>8</xdr:col>
      <xdr:colOff>251712</xdr:colOff>
      <xdr:row>15</xdr:row>
      <xdr:rowOff>4479</xdr:rowOff>
    </xdr:from>
    <xdr:to>
      <xdr:col>8</xdr:col>
      <xdr:colOff>483454</xdr:colOff>
      <xdr:row>19</xdr:row>
      <xdr:rowOff>24185</xdr:rowOff>
    </xdr:to>
    <xdr:sp macro="" textlink="">
      <xdr:nvSpPr>
        <xdr:cNvPr id="25" name="五边形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26" name="五边形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7" name="五边形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8" name="五边形 27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18</xdr:row>
      <xdr:rowOff>4479</xdr:rowOff>
    </xdr:from>
    <xdr:to>
      <xdr:col>8</xdr:col>
      <xdr:colOff>483454</xdr:colOff>
      <xdr:row>23</xdr:row>
      <xdr:rowOff>19708</xdr:rowOff>
    </xdr:to>
    <xdr:sp macro="" textlink="">
      <xdr:nvSpPr>
        <xdr:cNvPr id="29" name="五边形 28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15229</xdr:rowOff>
    </xdr:to>
    <xdr:sp macro="" textlink="">
      <xdr:nvSpPr>
        <xdr:cNvPr id="30" name="五边形 29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199159</xdr:rowOff>
    </xdr:to>
    <xdr:sp macro="" textlink="">
      <xdr:nvSpPr>
        <xdr:cNvPr id="31" name="五边形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203638</xdr:rowOff>
    </xdr:from>
    <xdr:to>
      <xdr:col>10</xdr:col>
      <xdr:colOff>231742</xdr:colOff>
      <xdr:row>21</xdr:row>
      <xdr:rowOff>8191</xdr:rowOff>
    </xdr:to>
    <xdr:sp macro="" textlink="">
      <xdr:nvSpPr>
        <xdr:cNvPr id="32" name="五边形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19</xdr:row>
      <xdr:rowOff>4479</xdr:rowOff>
    </xdr:from>
    <xdr:to>
      <xdr:col>8</xdr:col>
      <xdr:colOff>483454</xdr:colOff>
      <xdr:row>24</xdr:row>
      <xdr:rowOff>19705</xdr:rowOff>
    </xdr:to>
    <xdr:sp macro="" textlink="">
      <xdr:nvSpPr>
        <xdr:cNvPr id="33" name="五边形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15226</xdr:rowOff>
    </xdr:to>
    <xdr:sp macro="" textlink="">
      <xdr:nvSpPr>
        <xdr:cNvPr id="34" name="五边形 3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24</xdr:row>
      <xdr:rowOff>2091</xdr:rowOff>
    </xdr:to>
    <xdr:sp macro="" textlink="">
      <xdr:nvSpPr>
        <xdr:cNvPr id="35" name="五边形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203638</xdr:rowOff>
    </xdr:from>
    <xdr:to>
      <xdr:col>10</xdr:col>
      <xdr:colOff>231742</xdr:colOff>
      <xdr:row>24</xdr:row>
      <xdr:rowOff>8660</xdr:rowOff>
    </xdr:to>
    <xdr:sp macro="" textlink="">
      <xdr:nvSpPr>
        <xdr:cNvPr id="36" name="五边形 35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20</xdr:row>
      <xdr:rowOff>4479</xdr:rowOff>
    </xdr:from>
    <xdr:to>
      <xdr:col>8</xdr:col>
      <xdr:colOff>483454</xdr:colOff>
      <xdr:row>25</xdr:row>
      <xdr:rowOff>19706</xdr:rowOff>
    </xdr:to>
    <xdr:sp macro="" textlink="">
      <xdr:nvSpPr>
        <xdr:cNvPr id="37" name="五边形 36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38" name="五边形 37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25</xdr:row>
      <xdr:rowOff>2089</xdr:rowOff>
    </xdr:to>
    <xdr:sp macro="" textlink="">
      <xdr:nvSpPr>
        <xdr:cNvPr id="39" name="五边形 38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203638</xdr:rowOff>
    </xdr:from>
    <xdr:to>
      <xdr:col>10</xdr:col>
      <xdr:colOff>231742</xdr:colOff>
      <xdr:row>25</xdr:row>
      <xdr:rowOff>8658</xdr:rowOff>
    </xdr:to>
    <xdr:sp macro="" textlink="">
      <xdr:nvSpPr>
        <xdr:cNvPr id="40" name="五边形 39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21</xdr:row>
      <xdr:rowOff>4479</xdr:rowOff>
    </xdr:from>
    <xdr:to>
      <xdr:col>8</xdr:col>
      <xdr:colOff>483454</xdr:colOff>
      <xdr:row>26</xdr:row>
      <xdr:rowOff>19707</xdr:rowOff>
    </xdr:to>
    <xdr:sp macro="" textlink="">
      <xdr:nvSpPr>
        <xdr:cNvPr id="41" name="五边形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26</xdr:row>
      <xdr:rowOff>15228</xdr:rowOff>
    </xdr:to>
    <xdr:sp macro="" textlink="">
      <xdr:nvSpPr>
        <xdr:cNvPr id="42" name="五边形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26</xdr:row>
      <xdr:rowOff>2090</xdr:rowOff>
    </xdr:to>
    <xdr:sp macro="" textlink="">
      <xdr:nvSpPr>
        <xdr:cNvPr id="43" name="五边形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203638</xdr:rowOff>
    </xdr:from>
    <xdr:to>
      <xdr:col>10</xdr:col>
      <xdr:colOff>231742</xdr:colOff>
      <xdr:row>26</xdr:row>
      <xdr:rowOff>8659</xdr:rowOff>
    </xdr:to>
    <xdr:sp macro="" textlink="">
      <xdr:nvSpPr>
        <xdr:cNvPr id="44" name="五边形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22</xdr:row>
      <xdr:rowOff>4479</xdr:rowOff>
    </xdr:from>
    <xdr:to>
      <xdr:col>8</xdr:col>
      <xdr:colOff>483454</xdr:colOff>
      <xdr:row>27</xdr:row>
      <xdr:rowOff>19706</xdr:rowOff>
    </xdr:to>
    <xdr:sp macro="" textlink="">
      <xdr:nvSpPr>
        <xdr:cNvPr id="45" name="五边形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22</xdr:row>
      <xdr:rowOff>0</xdr:rowOff>
    </xdr:from>
    <xdr:to>
      <xdr:col>9</xdr:col>
      <xdr:colOff>474794</xdr:colOff>
      <xdr:row>27</xdr:row>
      <xdr:rowOff>15227</xdr:rowOff>
    </xdr:to>
    <xdr:sp macro="" textlink="">
      <xdr:nvSpPr>
        <xdr:cNvPr id="46" name="五边形 45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197069</xdr:rowOff>
    </xdr:from>
    <xdr:to>
      <xdr:col>10</xdr:col>
      <xdr:colOff>231742</xdr:colOff>
      <xdr:row>27</xdr:row>
      <xdr:rowOff>2090</xdr:rowOff>
    </xdr:to>
    <xdr:sp macro="" textlink="">
      <xdr:nvSpPr>
        <xdr:cNvPr id="47" name="五边形 46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203638</xdr:rowOff>
    </xdr:from>
    <xdr:to>
      <xdr:col>10</xdr:col>
      <xdr:colOff>231742</xdr:colOff>
      <xdr:row>27</xdr:row>
      <xdr:rowOff>8659</xdr:rowOff>
    </xdr:to>
    <xdr:sp macro="" textlink="">
      <xdr:nvSpPr>
        <xdr:cNvPr id="48" name="五边形 47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23</xdr:row>
      <xdr:rowOff>4479</xdr:rowOff>
    </xdr:from>
    <xdr:to>
      <xdr:col>8</xdr:col>
      <xdr:colOff>483454</xdr:colOff>
      <xdr:row>28</xdr:row>
      <xdr:rowOff>19706</xdr:rowOff>
    </xdr:to>
    <xdr:sp macro="" textlink="">
      <xdr:nvSpPr>
        <xdr:cNvPr id="49" name="五边形 48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23</xdr:row>
      <xdr:rowOff>0</xdr:rowOff>
    </xdr:from>
    <xdr:to>
      <xdr:col>9</xdr:col>
      <xdr:colOff>474794</xdr:colOff>
      <xdr:row>28</xdr:row>
      <xdr:rowOff>15227</xdr:rowOff>
    </xdr:to>
    <xdr:sp macro="" textlink="">
      <xdr:nvSpPr>
        <xdr:cNvPr id="50" name="五边形 49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197069</xdr:rowOff>
    </xdr:from>
    <xdr:to>
      <xdr:col>10</xdr:col>
      <xdr:colOff>231742</xdr:colOff>
      <xdr:row>28</xdr:row>
      <xdr:rowOff>2092</xdr:rowOff>
    </xdr:to>
    <xdr:sp macro="" textlink="">
      <xdr:nvSpPr>
        <xdr:cNvPr id="51" name="五边形 50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203638</xdr:rowOff>
    </xdr:from>
    <xdr:to>
      <xdr:col>10</xdr:col>
      <xdr:colOff>231742</xdr:colOff>
      <xdr:row>28</xdr:row>
      <xdr:rowOff>8661</xdr:rowOff>
    </xdr:to>
    <xdr:sp macro="" textlink="">
      <xdr:nvSpPr>
        <xdr:cNvPr id="52" name="五边形 51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53" name="五边形 52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" name="五边形 53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55" name="五边形 54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6" name="五边形 55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57" name="五边形 56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58" name="五边形 57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59" name="五边形 58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19707</xdr:rowOff>
    </xdr:to>
    <xdr:sp macro="" textlink="">
      <xdr:nvSpPr>
        <xdr:cNvPr id="60" name="五边形 59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27</xdr:row>
      <xdr:rowOff>19706</xdr:rowOff>
    </xdr:to>
    <xdr:sp macro="" textlink="">
      <xdr:nvSpPr>
        <xdr:cNvPr id="61" name="五边形 60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23</xdr:row>
      <xdr:rowOff>4479</xdr:rowOff>
    </xdr:from>
    <xdr:to>
      <xdr:col>9</xdr:col>
      <xdr:colOff>483454</xdr:colOff>
      <xdr:row>28</xdr:row>
      <xdr:rowOff>19706</xdr:rowOff>
    </xdr:to>
    <xdr:sp macro="" textlink="">
      <xdr:nvSpPr>
        <xdr:cNvPr id="62" name="五边形 61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3" name="五边形 62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4" name="五边形 63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65" name="五边形 64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6" name="五边形 65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19708</xdr:rowOff>
    </xdr:to>
    <xdr:sp macro="" textlink="">
      <xdr:nvSpPr>
        <xdr:cNvPr id="67" name="五边形 66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19705</xdr:rowOff>
    </xdr:to>
    <xdr:sp macro="" textlink="">
      <xdr:nvSpPr>
        <xdr:cNvPr id="68" name="五边形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19706</xdr:rowOff>
    </xdr:to>
    <xdr:sp macro="" textlink="">
      <xdr:nvSpPr>
        <xdr:cNvPr id="69" name="五边形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19707</xdr:rowOff>
    </xdr:to>
    <xdr:sp macro="" textlink="">
      <xdr:nvSpPr>
        <xdr:cNvPr id="70" name="五边形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4479</xdr:rowOff>
    </xdr:from>
    <xdr:to>
      <xdr:col>10</xdr:col>
      <xdr:colOff>231742</xdr:colOff>
      <xdr:row>27</xdr:row>
      <xdr:rowOff>19706</xdr:rowOff>
    </xdr:to>
    <xdr:sp macro="" textlink="">
      <xdr:nvSpPr>
        <xdr:cNvPr id="71" name="五边形 70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23</xdr:row>
      <xdr:rowOff>4479</xdr:rowOff>
    </xdr:from>
    <xdr:to>
      <xdr:col>10</xdr:col>
      <xdr:colOff>231742</xdr:colOff>
      <xdr:row>28</xdr:row>
      <xdr:rowOff>19706</xdr:rowOff>
    </xdr:to>
    <xdr:sp macro="" textlink="">
      <xdr:nvSpPr>
        <xdr:cNvPr id="72" name="五边形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3" name="五边形 72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4" name="五边形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5" name="五边形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6" name="五边形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7" name="五边形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8" name="五边形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19708</xdr:rowOff>
    </xdr:to>
    <xdr:sp macro="" textlink="">
      <xdr:nvSpPr>
        <xdr:cNvPr id="79" name="五边形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19705</xdr:rowOff>
    </xdr:to>
    <xdr:sp macro="" textlink="">
      <xdr:nvSpPr>
        <xdr:cNvPr id="80" name="五边形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19706</xdr:rowOff>
    </xdr:to>
    <xdr:sp macro="" textlink="">
      <xdr:nvSpPr>
        <xdr:cNvPr id="81" name="五边形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19707</xdr:rowOff>
    </xdr:to>
    <xdr:sp macro="" textlink="">
      <xdr:nvSpPr>
        <xdr:cNvPr id="82" name="五边形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4479</xdr:rowOff>
    </xdr:from>
    <xdr:to>
      <xdr:col>10</xdr:col>
      <xdr:colOff>231742</xdr:colOff>
      <xdr:row>27</xdr:row>
      <xdr:rowOff>19706</xdr:rowOff>
    </xdr:to>
    <xdr:sp macro="" textlink="">
      <xdr:nvSpPr>
        <xdr:cNvPr id="83" name="五边形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23</xdr:row>
      <xdr:rowOff>4479</xdr:rowOff>
    </xdr:from>
    <xdr:to>
      <xdr:col>10</xdr:col>
      <xdr:colOff>231742</xdr:colOff>
      <xdr:row>28</xdr:row>
      <xdr:rowOff>19706</xdr:rowOff>
    </xdr:to>
    <xdr:sp macro="" textlink="">
      <xdr:nvSpPr>
        <xdr:cNvPr id="84" name="五边形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0</xdr:rowOff>
    </xdr:from>
    <xdr:to>
      <xdr:col>10</xdr:col>
      <xdr:colOff>483454</xdr:colOff>
      <xdr:row>19</xdr:row>
      <xdr:rowOff>15227</xdr:rowOff>
    </xdr:to>
    <xdr:sp macro="" textlink="">
      <xdr:nvSpPr>
        <xdr:cNvPr id="85" name="五边形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4479</xdr:rowOff>
    </xdr:from>
    <xdr:to>
      <xdr:col>10</xdr:col>
      <xdr:colOff>483454</xdr:colOff>
      <xdr:row>19</xdr:row>
      <xdr:rowOff>24185</xdr:rowOff>
    </xdr:to>
    <xdr:sp macro="" textlink="">
      <xdr:nvSpPr>
        <xdr:cNvPr id="86" name="五边形 85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27</xdr:row>
      <xdr:rowOff>146318</xdr:rowOff>
    </xdr:from>
    <xdr:to>
      <xdr:col>5</xdr:col>
      <xdr:colOff>372483</xdr:colOff>
      <xdr:row>28</xdr:row>
      <xdr:rowOff>169411</xdr:rowOff>
    </xdr:to>
    <xdr:sp macro="[0]!'a_changeOneLoppNumber 1'" textlink="">
      <xdr:nvSpPr>
        <xdr:cNvPr id="87" name="Rectangle 8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37276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410259</xdr:colOff>
      <xdr:row>27</xdr:row>
      <xdr:rowOff>146318</xdr:rowOff>
    </xdr:from>
    <xdr:to>
      <xdr:col>5</xdr:col>
      <xdr:colOff>716259</xdr:colOff>
      <xdr:row>28</xdr:row>
      <xdr:rowOff>169411</xdr:rowOff>
    </xdr:to>
    <xdr:sp macro="[0]!'a_changeOneLoppNumber 5'" textlink="">
      <xdr:nvSpPr>
        <xdr:cNvPr id="88" name="Rectangle 8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581052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754035</xdr:colOff>
      <xdr:row>27</xdr:row>
      <xdr:rowOff>146318</xdr:rowOff>
    </xdr:from>
    <xdr:to>
      <xdr:col>6</xdr:col>
      <xdr:colOff>219207</xdr:colOff>
      <xdr:row>28</xdr:row>
      <xdr:rowOff>169411</xdr:rowOff>
    </xdr:to>
    <xdr:sp macro="[0]!'a_changeOneLoppNumber 20'" textlink="">
      <xdr:nvSpPr>
        <xdr:cNvPr id="89" name="Rectangle 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924828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6</xdr:col>
      <xdr:colOff>256982</xdr:colOff>
      <xdr:row>27</xdr:row>
      <xdr:rowOff>146318</xdr:rowOff>
    </xdr:from>
    <xdr:to>
      <xdr:col>7</xdr:col>
      <xdr:colOff>267379</xdr:colOff>
      <xdr:row>28</xdr:row>
      <xdr:rowOff>169411</xdr:rowOff>
    </xdr:to>
    <xdr:sp macro="[0]!'a_changeOneLoppNumber 50'" textlink="">
      <xdr:nvSpPr>
        <xdr:cNvPr id="90" name="Rectangle 8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1268603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66483</xdr:colOff>
      <xdr:row>29</xdr:row>
      <xdr:rowOff>1332</xdr:rowOff>
    </xdr:from>
    <xdr:to>
      <xdr:col>5</xdr:col>
      <xdr:colOff>372483</xdr:colOff>
      <xdr:row>30</xdr:row>
      <xdr:rowOff>18325</xdr:rowOff>
    </xdr:to>
    <xdr:sp macro="[0]!'a_changeOneLoppNumber 300'" textlink="">
      <xdr:nvSpPr>
        <xdr:cNvPr id="91" name="Rectangle 8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237276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410259</xdr:colOff>
      <xdr:row>29</xdr:row>
      <xdr:rowOff>1332</xdr:rowOff>
    </xdr:from>
    <xdr:to>
      <xdr:col>5</xdr:col>
      <xdr:colOff>716259</xdr:colOff>
      <xdr:row>30</xdr:row>
      <xdr:rowOff>18325</xdr:rowOff>
    </xdr:to>
    <xdr:sp macro="[0]!'a_changeOneLoppNumber 1000'" textlink="">
      <xdr:nvSpPr>
        <xdr:cNvPr id="92" name="Rectangle 8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581052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93" name="五边形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4" name="五边形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95" name="五边形 94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6" name="五边形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97" name="五边形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8" name="五边形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99" name="五边形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00" name="五边形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01" name="五边形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2" name="五边形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3" name="五边形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4" name="五边形 103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5" name="五边形 104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6" name="五边形 105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7" name="五边形 106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8" name="五边形 107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9" name="五边形 108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0" name="五边形 109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1" name="五边形 110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2" name="五边形 111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3" name="五边形 112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14" name="五边形 113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15" name="五边形 114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6" name="五边形 115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17" name="五边形 116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8" name="五边形 117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9" name="五边形 118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0" name="五边形 119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1" name="五边形 120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2" name="五边形 12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3" name="五边形 122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4" name="五边形 12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5" name="五边形 124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26" name="五边形 125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5400000" flipH="1" flipV="1">
          <a:off x="2340353" y="4615023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27" name="五边形 126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rot="5400000" flipH="1" flipV="1">
          <a:off x="2349014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15228</xdr:rowOff>
    </xdr:to>
    <xdr:sp macro="" textlink="">
      <xdr:nvSpPr>
        <xdr:cNvPr id="128" name="五边形 127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5400000" flipH="1" flipV="1">
          <a:off x="2349013" y="461950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29" name="五边形 128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0" name="五边形 129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31" name="五边形 130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2" name="五边形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33" name="五边形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134" name="五边形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5" name="五边形 134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6" name="五边形 135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7" name="五边形 136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8" name="五边形 137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9" name="五边形 138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0" name="五边形 139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1" name="五边形 140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42" name="五边形 14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3" name="五边形 142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144" name="五边形 143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5" name="五边形 144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46" name="五边形 145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7" name="五边形 146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8" name="五边形 147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9" name="五边形 148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50" name="五边形 149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51" name="五边形 150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52" name="五边形 15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153" name="五边形 152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154" name="五边形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155" name="五边形 154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56" name="五边形 155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57" name="五边形 156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58" name="五边形 157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59" name="五边形 158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0" name="五边形 159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61" name="五边形 160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2" name="五边形 161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3" name="五边形 162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64" name="五边形 163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65" name="五边形 164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6" name="五边形 165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67" name="五边形 166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8" name="五边形 167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9" name="五边形 168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70" name="五边形 169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71" name="五边形 170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2" name="五边形 171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3" name="五边形 172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4" name="五边形 173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5" name="五边形 174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76" name="五边形 175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77" name="五边形 176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8" name="五边形 177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9" name="五边形 178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0" name="五边形 179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81" name="五边形 180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82" name="五边形 181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83" name="五边形 182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84" name="五边形 183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5" name="五边形 184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6" name="五边形 185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7" name="五边形 186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8" name="五边形 187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9" name="五边形 188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90" name="五边形 189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91" name="五边形 190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92" name="五边形 191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93" name="五边形 192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19707</xdr:rowOff>
    </xdr:to>
    <xdr:sp macro="" textlink="">
      <xdr:nvSpPr>
        <xdr:cNvPr id="194" name="五边形 193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95" name="五边形 194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96" name="五边形 195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97" name="五边形 196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98" name="五边形 197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99" name="五边形 198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0" name="五边形 199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1" name="五边形 200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2" name="五边形 201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3" name="五边形 202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4" name="五边形 203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5" name="五边形 204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6" name="五边形 205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7" name="五边形 206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208" name="五边形 207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09" name="五边形 208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0" name="五边形 209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1" name="五边形 210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2" name="五边形 211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3" name="五边形 212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4" name="五边形 213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5" name="五边形 214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216" name="五边形 215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217" name="五边形 216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218" name="五边形 217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219" name="五边形 218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20" name="五边形 219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21" name="五边形 220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22" name="五边形 221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23" name="五边形 222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24" name="五边形 223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25" name="五边形 224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26" name="五边形 225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27" name="五边形 226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28" name="五边形 227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29" name="五边形 228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0" name="五边形 229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1" name="五边形 230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32" name="五边形 231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33" name="五边形 232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34" name="五边形 233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35" name="五边形 234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6" name="五边形 235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7" name="五边形 236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8" name="五边形 237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9" name="五边形 238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40" name="五边形 239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41" name="五边形 240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2" name="五边形 241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3" name="五边形 242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4" name="五边形 243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45" name="五边形 244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46" name="五边形 245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47" name="五边形 246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48" name="五边形 247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49" name="五边形 248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0" name="五边形 249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51" name="五边形 250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2" name="五边形 251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53" name="五边形 252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4" name="五边形 253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5" name="五边形 254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15230</xdr:rowOff>
    </xdr:to>
    <xdr:sp macro="" textlink="">
      <xdr:nvSpPr>
        <xdr:cNvPr id="256" name="五边形 255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57" name="五边形 256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19709</xdr:rowOff>
    </xdr:to>
    <xdr:sp macro="" textlink="">
      <xdr:nvSpPr>
        <xdr:cNvPr id="258" name="五边形 257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59" name="五边形 258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60" name="五边形 259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61" name="五边形 260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62" name="五边形 261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3" name="五边形 262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4" name="五边形 263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5" name="五边形 264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6" name="五边形 265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7" name="五边形 266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8" name="五边形 267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9" name="五边形 268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70" name="五边形 269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71" name="五边形 270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15229</xdr:rowOff>
    </xdr:to>
    <xdr:sp macro="" textlink="">
      <xdr:nvSpPr>
        <xdr:cNvPr id="272" name="五边形 271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3" name="五边形 272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74" name="五边形 273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5" name="五边形 274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6" name="五边形 275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7" name="五边形 276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8" name="五边形 277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79" name="五边形 278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280" name="五边形 279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281" name="五边形 280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2" name="五边形 281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3" name="五边形 282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84" name="五边形 283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5" name="五边形 284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6" name="五边形 285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87" name="五边形 286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8" name="五边形 287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9" name="五边形 288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0" name="五边形 289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1" name="五边形 290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92" name="五边形 291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93" name="五边形 292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4" name="五边形 293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5" name="五边形 294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6" name="五边形 295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97" name="五边形 296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98" name="五边形 297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99" name="五边形 298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0" name="五边形 299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1" name="五边形 300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2" name="五边形 301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3" name="五边形 302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4" name="五边形 303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5" name="五边形 304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6" name="五边形 305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7" name="五边形 306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8" name="五边形 307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309" name="五边形 308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310" name="五边形 309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11" name="五边形 310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312" name="五边形 311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13" name="五边形 312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14" name="五边形 313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15" name="五边形 314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16" name="五边形 315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17" name="五边形 316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18" name="五边形 317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19" name="五边形 318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20" name="五边形 319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21" name="五边形 320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22" name="五边形 321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23" name="五边形 322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24" name="五边形 323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25" name="五边形 324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26" name="五边形 325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27" name="五边形 326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28" name="五边形 327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29" name="五边形 328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0" name="五边形 329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31" name="五边形 330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2" name="五边形 331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33" name="五边形 332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34" name="五边形 333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5" name="五边形 334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6" name="五边形 335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7" name="五边形 336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38" name="五边形 337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39" name="五边形 338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40" name="五边形 339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41" name="五边形 340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2" name="五边形 341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3" name="五边形 342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4" name="五边形 343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5" name="五边形 344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6" name="五边形 345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7" name="五边形 346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8" name="五边形 347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49" name="五边形 348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50" name="五边形 349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51" name="五边形 350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52" name="五边形 351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53" name="五边形 352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54" name="五边形 353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55" name="五边形 354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56" name="五边形 355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57" name="五边形 356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58" name="五边形 357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59" name="五边形 358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60" name="五边形 359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1" name="五边形 360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2" name="五边形 361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63" name="五边形 362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4" name="五边形 363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15226</xdr:rowOff>
    </xdr:to>
    <xdr:sp macro="" textlink="">
      <xdr:nvSpPr>
        <xdr:cNvPr id="365" name="五边形 364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6" name="五边形 365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67" name="五边形 366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8" name="五边形 367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9" name="五边形 368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70" name="五边形 369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71" name="五边形 370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72" name="五边形 371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73" name="五边形 372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374" name="五边形 373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75" name="五边形 374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76" name="五边形 375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77" name="五边形 376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78" name="五边形 377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79" name="五边形 378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0" name="五边形 379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81" name="五边形 380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82" name="五边形 381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3" name="五边形 382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4" name="五边形 383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85" name="五边形 384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86" name="五边形 385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7" name="五边形 386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8" name="五边形 387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9" name="五边形 388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0" name="五边形 389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91" name="五边形 390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92" name="五边形 391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3" name="五边形 392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4" name="五边形 393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5" name="五边形 394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6" name="五边形 395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7" name="五边形 396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8" name="五边形 397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9" name="五边形 398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00" name="五边形 399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01" name="五边形 400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402" name="五边形 401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403" name="五边形 402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04" name="五边形 403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25</xdr:row>
      <xdr:rowOff>2090</xdr:rowOff>
    </xdr:to>
    <xdr:sp macro="" textlink="">
      <xdr:nvSpPr>
        <xdr:cNvPr id="405" name="五边形 404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06" name="五边形 405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07" name="五边形 406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08" name="五边形 407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09" name="五边形 408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10" name="五边形 409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11" name="五边形 410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12" name="五边形 411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13" name="五边形 412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14" name="五边形 413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15" name="五边形 414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16" name="五边形 415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17" name="五边形 416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18" name="五边形 417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19" name="五边形 418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20" name="五边形 419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21" name="五边形 420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22" name="五边形 421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3" name="五边形 422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24" name="五边形 423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5" name="五边形 424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26" name="五边形 425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27" name="五边形 426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8" name="五边形 427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9" name="五边形 428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0" name="五边形 429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31" name="五边形 430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32" name="五边形 431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33" name="五边形 432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34" name="五边形 433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5" name="五边形 434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6" name="五边形 435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7" name="五边形 436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8" name="五边形 437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9" name="五边形 438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40" name="五边形 439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41" name="五边形 440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42" name="五边形 441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43" name="五边形 442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44" name="五边形 443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45" name="五边形 444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46" name="五边形 445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47" name="五边形 446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48" name="五边形 447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49" name="五边形 448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0" name="五边形 449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1" name="五边形 450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2" name="五边形 451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3" name="五边形 452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4" name="五边形 453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5" name="五边形 454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6" name="五边形 455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7" name="五边形 456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458" name="五边形 457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59" name="五边形 458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0" name="五边形 459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1" name="五边形 460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2" name="五边形 461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3" name="五边形 462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4" name="五边形 463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5" name="五边形 464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66" name="五边形 465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25</xdr:row>
      <xdr:rowOff>2090</xdr:rowOff>
    </xdr:to>
    <xdr:sp macro="" textlink="">
      <xdr:nvSpPr>
        <xdr:cNvPr id="467" name="五边形 466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68" name="五边形 467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69" name="五边形 468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0" name="五边形 469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1" name="五边形 470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2" name="五边形 471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3" name="五边形 472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4" name="五边形 473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5" name="五边形 474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6" name="五边形 475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7" name="五边形 476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8" name="五边形 477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9" name="五边形 478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0" name="五边形 479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1" name="五边形 480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2" name="五边形 481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83" name="五边形 482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84" name="五边形 483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85" name="五边形 484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6" name="五边形 485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7" name="五边形 486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8" name="五边形 487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9" name="五边形 488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0" name="五边形 489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1" name="五边形 490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2" name="五边形 491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3" name="五边形 492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4" name="五边形 493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5" name="五边形 494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6" name="五边形 495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497" name="五边形 496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8" name="五边形 497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9" name="五边形 498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0" name="五边形 499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1" name="五边形 500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2" name="五边形 501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3" name="五边形 502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4" name="五边形 503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5" name="五边形 504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6" name="五边形 505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7" name="五边形 506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8" name="五边形 507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9" name="五边形 508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10" name="五边形 509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11" name="五边形 510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2" name="五边形 511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3" name="五边形 512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4" name="五边形 513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5" name="五边形 514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6" name="五边形 515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7" name="五边形 516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8" name="五边形 517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9" name="五边形 518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20" name="五边形 519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21" name="五边形 520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22" name="五边形 521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23" name="五边形 522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4" name="五边形 523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5" name="五边形 524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6" name="五边形 525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7" name="五边形 526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8" name="五边形 527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29" name="五边形 528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0" name="五边形 529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1" name="五边形 530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2" name="五边形 531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3" name="五边形 532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4" name="五边形 533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5" name="五边形 534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6" name="五边形 535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7" name="五边形 536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8" name="五边形 537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9" name="五边形 538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0" name="五边形 539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1" name="五边形 540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2" name="五边形 541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3" name="五边形 542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4" name="五边形 543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5" name="五边形 544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6" name="五边形 545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7" name="五边形 546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8" name="五边形 547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9" name="五边形 548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0" name="五边形 549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51" name="五边形 550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2" name="五边形 551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553" name="五边形 552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4" name="五边形 553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5" name="五边形 554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6" name="五边形 555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7" name="五边形 556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8" name="五边形 557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9" name="五边形 558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0" name="五边形 559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61" name="五边形 560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2" name="五边形 561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63" name="五边形 562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4" name="五边形 563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565" name="五边形 564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566" name="五边形 565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67" name="五边形 566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68" name="五边形 567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69" name="五边形 568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0" name="五边形 569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1" name="五边形 570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2" name="五边形 571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3" name="五边形 572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4" name="五边形 573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5" name="五边形 574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6" name="五边形 575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7" name="五边形 576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578" name="五边形 577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79" name="五边形 578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0" name="五边形 579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1" name="五边形 580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2" name="五边形 581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3" name="五边形 582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oneCellAnchor>
    <xdr:from>
      <xdr:col>9</xdr:col>
      <xdr:colOff>251712</xdr:colOff>
      <xdr:row>18</xdr:row>
      <xdr:rowOff>4479</xdr:rowOff>
    </xdr:from>
    <xdr:ext cx="231742" cy="1079786"/>
    <xdr:sp macro="" textlink="">
      <xdr:nvSpPr>
        <xdr:cNvPr id="584" name="五边形 28" hidden="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>
        <a:xfrm rot="5400000" flipH="1" flipV="1">
          <a:off x="1463749" y="312911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19</xdr:row>
      <xdr:rowOff>4479</xdr:rowOff>
    </xdr:from>
    <xdr:ext cx="231742" cy="1079786"/>
    <xdr:sp macro="" textlink="">
      <xdr:nvSpPr>
        <xdr:cNvPr id="585" name="五边形 32" hidden="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/>
      </xdr:nvSpPr>
      <xdr:spPr>
        <a:xfrm rot="5400000" flipH="1" flipV="1">
          <a:off x="1463749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20</xdr:row>
      <xdr:rowOff>4479</xdr:rowOff>
    </xdr:from>
    <xdr:ext cx="231742" cy="1079786"/>
    <xdr:sp macro="" textlink="">
      <xdr:nvSpPr>
        <xdr:cNvPr id="586" name="五边形 36" hidden="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21</xdr:row>
      <xdr:rowOff>4479</xdr:rowOff>
    </xdr:from>
    <xdr:ext cx="231742" cy="1079786"/>
    <xdr:sp macro="" textlink="">
      <xdr:nvSpPr>
        <xdr:cNvPr id="587" name="五边形 40" hidden="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B31CBF9F-DCE1-4F64-B94C-77269A1A3D2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9700A8B0-CA0E-4174-B69F-BF4686FB4C06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45A1924D-70E8-4EFF-9297-38825E368E25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80E92878-B5A1-4AE4-8503-2856BE2E30C5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4803BF1D-6ADB-4E49-A822-275697E710E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15</xdr:row>
      <xdr:rowOff>33130</xdr:rowOff>
    </xdr:from>
    <xdr:to>
      <xdr:col>2</xdr:col>
      <xdr:colOff>198782</xdr:colOff>
      <xdr:row>16</xdr:row>
      <xdr:rowOff>149087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264215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19</xdr:row>
      <xdr:rowOff>107674</xdr:rowOff>
    </xdr:from>
    <xdr:to>
      <xdr:col>2</xdr:col>
      <xdr:colOff>182217</xdr:colOff>
      <xdr:row>21</xdr:row>
      <xdr:rowOff>49697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41243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17</xdr:row>
      <xdr:rowOff>49696</xdr:rowOff>
    </xdr:from>
    <xdr:to>
      <xdr:col>2</xdr:col>
      <xdr:colOff>182218</xdr:colOff>
      <xdr:row>18</xdr:row>
      <xdr:rowOff>165653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00658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B76B3A6B-C3F4-46C6-9571-444947AED494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</xdr:colOff>
      <xdr:row>3</xdr:row>
      <xdr:rowOff>75045</xdr:rowOff>
    </xdr:from>
    <xdr:to>
      <xdr:col>1</xdr:col>
      <xdr:colOff>556114</xdr:colOff>
      <xdr:row>3</xdr:row>
      <xdr:rowOff>662109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pSpPr/>
      </xdr:nvGrpSpPr>
      <xdr:grpSpPr>
        <a:xfrm>
          <a:off x="688975" y="75045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11114</xdr:colOff>
      <xdr:row>3</xdr:row>
      <xdr:rowOff>66553</xdr:rowOff>
    </xdr:from>
    <xdr:to>
      <xdr:col>3</xdr:col>
      <xdr:colOff>9770</xdr:colOff>
      <xdr:row>3</xdr:row>
      <xdr:rowOff>801077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1582739" y="66553"/>
          <a:ext cx="1055931" cy="734524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800"/>
            <a:t>Load Plugin</a:t>
          </a:r>
          <a:endParaRPr lang="zh-CN" altLang="en-US" sz="1800"/>
        </a:p>
      </xdr:txBody>
    </xdr:sp>
    <xdr:clientData/>
  </xdr:twoCellAnchor>
  <xdr:twoCellAnchor>
    <xdr:from>
      <xdr:col>5</xdr:col>
      <xdr:colOff>628650</xdr:colOff>
      <xdr:row>3</xdr:row>
      <xdr:rowOff>79789</xdr:rowOff>
    </xdr:from>
    <xdr:to>
      <xdr:col>7</xdr:col>
      <xdr:colOff>548206</xdr:colOff>
      <xdr:row>3</xdr:row>
      <xdr:rowOff>814313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6477000" y="79789"/>
          <a:ext cx="1291156" cy="734524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800"/>
            <a:t>Unload Plugin</a:t>
          </a:r>
          <a:endParaRPr lang="zh-CN" altLang="en-US" sz="18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D322A54B-4441-43B8-AD57-C634335377F3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3A49E792-0498-4349-96FE-69D6E047BBF2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BDDDF679-0F20-44BE-B67A-0B4FDBB3EB81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10</xdr:row>
      <xdr:rowOff>57150</xdr:rowOff>
    </xdr:from>
    <xdr:to>
      <xdr:col>4</xdr:col>
      <xdr:colOff>619614</xdr:colOff>
      <xdr:row>13</xdr:row>
      <xdr:rowOff>53664</xdr:rowOff>
    </xdr:to>
    <xdr:grpSp>
      <xdr:nvGrpSpPr>
        <xdr:cNvPr id="4" name="组合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66675" y="60960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a_LoadSetupVariables" textlink="">
        <xdr:nvSpPr>
          <xdr:cNvPr id="5" name="矩形: 圆角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a_LoadSetupVariable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a_LoadSetupVariables" textlink="">
        <xdr:nvSpPr>
          <xdr:cNvPr id="7" name="箭头: 下弧形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39C5A59E-E4B8-4E78-9788-E75DAB9A1D56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6D2D5CC2-A03F-461C-93B2-800EBC7E147E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7012ACE4-BB9E-4250-8285-DBBF9A314CFC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171450</xdr:colOff>
      <xdr:row>0</xdr:row>
      <xdr:rowOff>95250</xdr:rowOff>
    </xdr:from>
    <xdr:to>
      <xdr:col>6</xdr:col>
      <xdr:colOff>69068</xdr:colOff>
      <xdr:row>2</xdr:row>
      <xdr:rowOff>400885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8850" y="95250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A02963BA-0B70-44DB-9FFB-A6431A851DC2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8"/>
  <sheetViews>
    <sheetView topLeftCell="E4" zoomScale="90" zoomScaleNormal="90" workbookViewId="0">
      <selection activeCell="L27" sqref="L27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1" style="12" customWidth="1"/>
    <col min="7" max="7" width="3.875" style="12" customWidth="1"/>
    <col min="8" max="8" width="4.375" style="12" customWidth="1"/>
    <col min="9" max="10" width="11.625" style="12" customWidth="1"/>
    <col min="11" max="16384" width="9" style="12"/>
  </cols>
  <sheetData>
    <row r="1" spans="1:10" hidden="1" x14ac:dyDescent="0.15"/>
    <row r="2" spans="1:10" hidden="1" x14ac:dyDescent="0.15"/>
    <row r="3" spans="1:10" hidden="1" x14ac:dyDescent="0.15"/>
    <row r="4" spans="1:10" s="15" customFormat="1" ht="35.25" customHeight="1" x14ac:dyDescent="0.15"/>
    <row r="5" spans="1:10" ht="10.5" customHeight="1" x14ac:dyDescent="0.15"/>
    <row r="6" spans="1:10" ht="21.75" customHeight="1" x14ac:dyDescent="0.15">
      <c r="I6" s="37" t="s">
        <v>103</v>
      </c>
      <c r="J6" s="38"/>
    </row>
    <row r="7" spans="1:10" ht="21.75" customHeight="1" x14ac:dyDescent="0.15">
      <c r="A7" s="12" t="s">
        <v>55</v>
      </c>
      <c r="I7" s="23"/>
      <c r="J7" s="23" t="s">
        <v>55</v>
      </c>
    </row>
    <row r="8" spans="1:10" ht="21.75" hidden="1" customHeight="1" thickBot="1" x14ac:dyDescent="0.15">
      <c r="F8" s="13"/>
    </row>
    <row r="9" spans="1:10" ht="21.75" customHeight="1" x14ac:dyDescent="0.15">
      <c r="F9" s="13">
        <f>VLOOKUP("Engine Loop",core_setup!F:G,2,0)</f>
        <v>50</v>
      </c>
      <c r="I9" s="13">
        <v>500</v>
      </c>
      <c r="J9" s="13">
        <v>500</v>
      </c>
    </row>
    <row r="10" spans="1:10" x14ac:dyDescent="0.15">
      <c r="F10" s="13">
        <f>core_count!B1</f>
        <v>50</v>
      </c>
      <c r="I10" s="13">
        <v>40</v>
      </c>
      <c r="J10" s="13">
        <v>10</v>
      </c>
    </row>
    <row r="11" spans="1:10" x14ac:dyDescent="0.15">
      <c r="I11" s="13">
        <v>1000</v>
      </c>
      <c r="J11" s="13">
        <v>1000</v>
      </c>
    </row>
    <row r="12" spans="1:10" x14ac:dyDescent="0.15">
      <c r="F12" s="13">
        <f>core_count!B2</f>
        <v>50</v>
      </c>
      <c r="I12" s="13">
        <v>0</v>
      </c>
      <c r="J12" s="13">
        <v>1</v>
      </c>
    </row>
    <row r="14" spans="1:10" hidden="1" x14ac:dyDescent="0.15"/>
    <row r="15" spans="1:10" x14ac:dyDescent="0.35">
      <c r="F15" s="36" t="s">
        <v>93</v>
      </c>
      <c r="G15" s="25">
        <v>1</v>
      </c>
      <c r="I15" s="13">
        <v>0</v>
      </c>
      <c r="J15" s="13">
        <v>1</v>
      </c>
    </row>
    <row r="19" spans="9:10" x14ac:dyDescent="0.15">
      <c r="I19" s="24" t="s">
        <v>108</v>
      </c>
      <c r="J19" s="24" t="s">
        <v>94</v>
      </c>
    </row>
    <row r="20" spans="9:10" x14ac:dyDescent="0.15">
      <c r="I20" s="24" t="s">
        <v>96</v>
      </c>
      <c r="J20" s="24" t="s">
        <v>96</v>
      </c>
    </row>
    <row r="21" spans="9:10" x14ac:dyDescent="0.15">
      <c r="I21" s="24" t="s">
        <v>96</v>
      </c>
      <c r="J21" s="24" t="s">
        <v>96</v>
      </c>
    </row>
    <row r="22" spans="9:10" x14ac:dyDescent="0.15">
      <c r="I22" s="24" t="s">
        <v>96</v>
      </c>
      <c r="J22" s="24" t="s">
        <v>96</v>
      </c>
    </row>
    <row r="23" spans="9:10" x14ac:dyDescent="0.15">
      <c r="I23" s="24" t="s">
        <v>96</v>
      </c>
      <c r="J23" s="24" t="s">
        <v>96</v>
      </c>
    </row>
    <row r="24" spans="9:10" x14ac:dyDescent="0.15">
      <c r="I24" s="24" t="s">
        <v>96</v>
      </c>
      <c r="J24" s="24" t="s">
        <v>96</v>
      </c>
    </row>
    <row r="25" spans="9:10" x14ac:dyDescent="0.15">
      <c r="I25" s="24" t="s">
        <v>96</v>
      </c>
      <c r="J25" s="24" t="s">
        <v>96</v>
      </c>
    </row>
    <row r="26" spans="9:10" x14ac:dyDescent="0.15">
      <c r="I26" s="24" t="s">
        <v>96</v>
      </c>
      <c r="J26" s="24" t="s">
        <v>96</v>
      </c>
    </row>
    <row r="28" spans="9:10" x14ac:dyDescent="0.15">
      <c r="J28" s="12" t="s">
        <v>90</v>
      </c>
    </row>
  </sheetData>
  <mergeCells count="1">
    <mergeCell ref="I6:J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2"/>
  <sheetViews>
    <sheetView zoomScale="145" zoomScaleNormal="145" workbookViewId="0">
      <selection activeCell="A10" sqref="A10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92</v>
      </c>
      <c r="C2" s="11" t="s">
        <v>93</v>
      </c>
      <c r="D2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H4" sqref="H4"/>
    </sheetView>
  </sheetViews>
  <sheetFormatPr defaultRowHeight="13.5" x14ac:dyDescent="0.15"/>
  <sheetData>
    <row r="1" spans="1:3" x14ac:dyDescent="0.15">
      <c r="A1" t="s">
        <v>13</v>
      </c>
      <c r="B1">
        <v>50</v>
      </c>
      <c r="C1" t="s">
        <v>20</v>
      </c>
    </row>
    <row r="2" spans="1:3" x14ac:dyDescent="0.15">
      <c r="A2" t="s">
        <v>14</v>
      </c>
      <c r="B2">
        <v>50</v>
      </c>
      <c r="C2" t="s">
        <v>21</v>
      </c>
    </row>
    <row r="3" spans="1:3" x14ac:dyDescent="0.15">
      <c r="A3" t="s">
        <v>107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</row>
    <row r="6" spans="1:3" x14ac:dyDescent="0.15">
      <c r="A6" t="s">
        <v>91</v>
      </c>
      <c r="B6">
        <v>5</v>
      </c>
      <c r="C6" t="s">
        <v>31</v>
      </c>
    </row>
    <row r="7" spans="1:3" x14ac:dyDescent="0.15">
      <c r="A7" t="s">
        <v>41</v>
      </c>
      <c r="B7">
        <v>1</v>
      </c>
      <c r="C7" t="s">
        <v>32</v>
      </c>
    </row>
    <row r="8" spans="1:3" x14ac:dyDescent="0.15">
      <c r="A8" t="s">
        <v>17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selection activeCell="B9" sqref="B9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workbookViewId="0">
      <selection activeCell="B8" sqref="B8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16.3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64</v>
      </c>
    </row>
    <row r="2" spans="4:8" x14ac:dyDescent="0.15">
      <c r="D2" s="17" t="s">
        <v>102</v>
      </c>
      <c r="H2" s="17" t="s">
        <v>97</v>
      </c>
    </row>
    <row r="3" spans="4:8" x14ac:dyDescent="0.15">
      <c r="D3" s="17" t="s">
        <v>63</v>
      </c>
      <c r="H3" s="17"/>
    </row>
    <row r="4" spans="4:8" x14ac:dyDescent="0.15">
      <c r="D4" s="17"/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B8" sqref="B8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101</v>
      </c>
      <c r="H2" s="9" t="s">
        <v>101</v>
      </c>
    </row>
    <row r="3" spans="4:8" x14ac:dyDescent="0.15">
      <c r="D3" s="9" t="s">
        <v>61</v>
      </c>
      <c r="H3" s="9" t="s">
        <v>67</v>
      </c>
    </row>
    <row r="4" spans="4:8" x14ac:dyDescent="0.15">
      <c r="D4" s="9" t="s">
        <v>58</v>
      </c>
      <c r="H4" s="9" t="s">
        <v>71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100</v>
      </c>
      <c r="H7" s="9"/>
    </row>
    <row r="8" spans="4:8" x14ac:dyDescent="0.15">
      <c r="D8" s="9" t="s">
        <v>66</v>
      </c>
      <c r="H8" s="9"/>
    </row>
    <row r="9" spans="4:8" x14ac:dyDescent="0.15">
      <c r="D9" s="9" t="s">
        <v>69</v>
      </c>
      <c r="H9" s="9"/>
    </row>
    <row r="10" spans="4:8" x14ac:dyDescent="0.15">
      <c r="D10" s="9" t="s">
        <v>80</v>
      </c>
      <c r="H10" s="9"/>
    </row>
    <row r="11" spans="4:8" x14ac:dyDescent="0.15">
      <c r="D11" s="9" t="s">
        <v>116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tabSelected="1" zoomScale="115" zoomScaleNormal="115" workbookViewId="0">
      <selection activeCell="I8" sqref="I8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D060B-F7C5-4449-9DD9-C50B66FF2F9E}">
  <sheetPr codeName="Sheet19"/>
  <dimension ref="A1:G25"/>
  <sheetViews>
    <sheetView workbookViewId="0">
      <selection activeCell="I7" sqref="I7"/>
    </sheetView>
  </sheetViews>
  <sheetFormatPr defaultRowHeight="13.5" x14ac:dyDescent="0.15"/>
  <cols>
    <col min="6" max="6" width="13.25" customWidth="1"/>
  </cols>
  <sheetData>
    <row r="1" spans="1:7" x14ac:dyDescent="0.15">
      <c r="A1">
        <v>0</v>
      </c>
      <c r="B1" t="s">
        <v>171</v>
      </c>
      <c r="C1" t="s">
        <v>54</v>
      </c>
      <c r="D1" t="s">
        <v>172</v>
      </c>
      <c r="E1" t="s">
        <v>173</v>
      </c>
      <c r="F1" t="s">
        <v>175</v>
      </c>
      <c r="G1" t="s">
        <v>174</v>
      </c>
    </row>
    <row r="2" spans="1:7" x14ac:dyDescent="0.15">
      <c r="A2">
        <v>1</v>
      </c>
      <c r="B2">
        <v>380</v>
      </c>
      <c r="C2">
        <v>20</v>
      </c>
      <c r="D2">
        <v>100</v>
      </c>
      <c r="E2">
        <v>25</v>
      </c>
    </row>
    <row r="3" spans="1:7" x14ac:dyDescent="0.15">
      <c r="A3">
        <v>2</v>
      </c>
      <c r="B3">
        <v>380</v>
      </c>
      <c r="C3">
        <f>C2+E2+10</f>
        <v>55</v>
      </c>
      <c r="D3">
        <v>100</v>
      </c>
      <c r="E3">
        <v>25</v>
      </c>
    </row>
    <row r="4" spans="1:7" x14ac:dyDescent="0.15">
      <c r="A4">
        <v>3</v>
      </c>
      <c r="B4">
        <v>380</v>
      </c>
      <c r="C4">
        <f t="shared" ref="C4:C25" si="0">C3+E3+10</f>
        <v>90</v>
      </c>
      <c r="D4">
        <v>100</v>
      </c>
      <c r="E4">
        <v>25</v>
      </c>
    </row>
    <row r="5" spans="1:7" x14ac:dyDescent="0.15">
      <c r="A5">
        <v>4</v>
      </c>
      <c r="B5">
        <v>380</v>
      </c>
      <c r="C5">
        <f t="shared" si="0"/>
        <v>125</v>
      </c>
      <c r="D5">
        <v>100</v>
      </c>
      <c r="E5">
        <v>25</v>
      </c>
    </row>
    <row r="6" spans="1:7" x14ac:dyDescent="0.15">
      <c r="A6">
        <v>5</v>
      </c>
      <c r="B6">
        <v>380</v>
      </c>
      <c r="C6">
        <f t="shared" si="0"/>
        <v>160</v>
      </c>
      <c r="D6">
        <v>100</v>
      </c>
      <c r="E6">
        <v>25</v>
      </c>
    </row>
    <row r="7" spans="1:7" x14ac:dyDescent="0.15">
      <c r="A7">
        <v>6</v>
      </c>
      <c r="B7">
        <v>380</v>
      </c>
      <c r="C7">
        <f t="shared" si="0"/>
        <v>195</v>
      </c>
      <c r="D7">
        <v>100</v>
      </c>
      <c r="E7">
        <v>25</v>
      </c>
    </row>
    <row r="8" spans="1:7" x14ac:dyDescent="0.15">
      <c r="A8">
        <v>7</v>
      </c>
      <c r="B8">
        <v>380</v>
      </c>
      <c r="C8">
        <f t="shared" si="0"/>
        <v>230</v>
      </c>
      <c r="D8">
        <v>100</v>
      </c>
      <c r="E8">
        <v>25</v>
      </c>
    </row>
    <row r="9" spans="1:7" x14ac:dyDescent="0.15">
      <c r="A9">
        <v>8</v>
      </c>
      <c r="B9">
        <v>380</v>
      </c>
      <c r="C9">
        <f t="shared" si="0"/>
        <v>265</v>
      </c>
      <c r="D9">
        <v>100</v>
      </c>
      <c r="E9">
        <v>25</v>
      </c>
    </row>
    <row r="10" spans="1:7" x14ac:dyDescent="0.15">
      <c r="A10">
        <v>9</v>
      </c>
      <c r="B10">
        <v>500</v>
      </c>
      <c r="C10">
        <v>20</v>
      </c>
      <c r="D10">
        <v>100</v>
      </c>
      <c r="E10">
        <v>25</v>
      </c>
    </row>
    <row r="11" spans="1:7" x14ac:dyDescent="0.15">
      <c r="A11">
        <v>10</v>
      </c>
      <c r="B11">
        <v>500</v>
      </c>
      <c r="C11">
        <f t="shared" si="0"/>
        <v>55</v>
      </c>
      <c r="D11">
        <v>100</v>
      </c>
      <c r="E11">
        <v>25</v>
      </c>
    </row>
    <row r="12" spans="1:7" x14ac:dyDescent="0.15">
      <c r="A12">
        <v>11</v>
      </c>
      <c r="B12">
        <v>500</v>
      </c>
      <c r="C12">
        <f t="shared" si="0"/>
        <v>90</v>
      </c>
      <c r="D12">
        <v>100</v>
      </c>
      <c r="E12">
        <v>25</v>
      </c>
    </row>
    <row r="13" spans="1:7" x14ac:dyDescent="0.15">
      <c r="A13">
        <v>12</v>
      </c>
      <c r="B13">
        <v>500</v>
      </c>
      <c r="C13">
        <f t="shared" si="0"/>
        <v>125</v>
      </c>
      <c r="D13">
        <v>100</v>
      </c>
      <c r="E13">
        <v>25</v>
      </c>
    </row>
    <row r="14" spans="1:7" x14ac:dyDescent="0.15">
      <c r="A14">
        <v>13</v>
      </c>
      <c r="B14">
        <v>500</v>
      </c>
      <c r="C14">
        <f t="shared" si="0"/>
        <v>160</v>
      </c>
      <c r="D14">
        <v>100</v>
      </c>
      <c r="E14">
        <v>25</v>
      </c>
    </row>
    <row r="15" spans="1:7" x14ac:dyDescent="0.15">
      <c r="A15">
        <v>14</v>
      </c>
      <c r="B15">
        <v>500</v>
      </c>
      <c r="C15">
        <f t="shared" si="0"/>
        <v>195</v>
      </c>
      <c r="D15">
        <v>100</v>
      </c>
      <c r="E15">
        <v>25</v>
      </c>
    </row>
    <row r="16" spans="1:7" x14ac:dyDescent="0.15">
      <c r="A16">
        <v>15</v>
      </c>
      <c r="B16">
        <v>500</v>
      </c>
      <c r="C16">
        <f t="shared" si="0"/>
        <v>230</v>
      </c>
      <c r="D16">
        <v>100</v>
      </c>
      <c r="E16">
        <v>25</v>
      </c>
    </row>
    <row r="17" spans="1:5" x14ac:dyDescent="0.15">
      <c r="A17">
        <v>16</v>
      </c>
      <c r="B17">
        <v>500</v>
      </c>
      <c r="C17">
        <f t="shared" si="0"/>
        <v>265</v>
      </c>
      <c r="D17">
        <v>100</v>
      </c>
      <c r="E17">
        <v>25</v>
      </c>
    </row>
    <row r="18" spans="1:5" x14ac:dyDescent="0.15">
      <c r="A18">
        <v>17</v>
      </c>
      <c r="B18">
        <v>620</v>
      </c>
      <c r="C18">
        <v>20</v>
      </c>
      <c r="D18">
        <v>100</v>
      </c>
      <c r="E18">
        <v>25</v>
      </c>
    </row>
    <row r="19" spans="1:5" x14ac:dyDescent="0.15">
      <c r="A19">
        <v>18</v>
      </c>
      <c r="B19">
        <v>620</v>
      </c>
      <c r="C19">
        <f t="shared" si="0"/>
        <v>55</v>
      </c>
      <c r="D19">
        <v>100</v>
      </c>
      <c r="E19">
        <v>25</v>
      </c>
    </row>
    <row r="20" spans="1:5" x14ac:dyDescent="0.15">
      <c r="A20">
        <v>19</v>
      </c>
      <c r="B20">
        <v>620</v>
      </c>
      <c r="C20">
        <f t="shared" si="0"/>
        <v>90</v>
      </c>
      <c r="D20">
        <v>100</v>
      </c>
      <c r="E20">
        <v>25</v>
      </c>
    </row>
    <row r="21" spans="1:5" x14ac:dyDescent="0.15">
      <c r="A21">
        <v>20</v>
      </c>
      <c r="B21">
        <v>620</v>
      </c>
      <c r="C21">
        <f t="shared" si="0"/>
        <v>125</v>
      </c>
      <c r="D21">
        <v>100</v>
      </c>
      <c r="E21">
        <v>25</v>
      </c>
    </row>
    <row r="22" spans="1:5" x14ac:dyDescent="0.15">
      <c r="A22">
        <v>21</v>
      </c>
      <c r="B22">
        <v>620</v>
      </c>
      <c r="C22">
        <f t="shared" si="0"/>
        <v>160</v>
      </c>
      <c r="D22">
        <v>100</v>
      </c>
      <c r="E22">
        <v>25</v>
      </c>
    </row>
    <row r="23" spans="1:5" x14ac:dyDescent="0.15">
      <c r="A23">
        <v>22</v>
      </c>
      <c r="B23">
        <v>620</v>
      </c>
      <c r="C23">
        <f t="shared" si="0"/>
        <v>195</v>
      </c>
      <c r="D23">
        <v>100</v>
      </c>
      <c r="E23">
        <v>25</v>
      </c>
    </row>
    <row r="24" spans="1:5" x14ac:dyDescent="0.15">
      <c r="A24">
        <v>23</v>
      </c>
      <c r="B24">
        <v>620</v>
      </c>
      <c r="C24">
        <f t="shared" si="0"/>
        <v>230</v>
      </c>
      <c r="D24">
        <v>100</v>
      </c>
      <c r="E24">
        <v>25</v>
      </c>
    </row>
    <row r="25" spans="1:5" x14ac:dyDescent="0.15">
      <c r="A25">
        <v>24</v>
      </c>
      <c r="B25">
        <v>620</v>
      </c>
      <c r="C25">
        <f t="shared" si="0"/>
        <v>265</v>
      </c>
      <c r="D25">
        <v>100</v>
      </c>
      <c r="E25">
        <v>25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CDB91-9F5C-4FA2-9EA5-6AE3B1EA351E}">
  <sheetPr codeName="Sheet15"/>
  <dimension ref="A1:K70"/>
  <sheetViews>
    <sheetView topLeftCell="A4" workbookViewId="0">
      <selection activeCell="F11" sqref="F11"/>
    </sheetView>
  </sheetViews>
  <sheetFormatPr defaultRowHeight="13.5" x14ac:dyDescent="0.15"/>
  <cols>
    <col min="3" max="3" width="17.75" customWidth="1"/>
    <col min="4" max="4" width="28.375" customWidth="1"/>
    <col min="5" max="5" width="7" customWidth="1"/>
    <col min="8" max="8" width="15.25" customWidth="1"/>
    <col min="9" max="9" width="23.125" customWidth="1"/>
  </cols>
  <sheetData>
    <row r="1" spans="1:11" hidden="1" x14ac:dyDescent="0.15"/>
    <row r="2" spans="1:11" hidden="1" x14ac:dyDescent="0.15"/>
    <row r="3" spans="1:11" hidden="1" x14ac:dyDescent="0.15"/>
    <row r="4" spans="1:11" s="15" customFormat="1" ht="69" customHeight="1" x14ac:dyDescent="0.15">
      <c r="C4" s="26"/>
      <c r="D4" s="27" t="s">
        <v>119</v>
      </c>
      <c r="E4" s="28" t="s">
        <v>124</v>
      </c>
      <c r="F4" s="26"/>
      <c r="G4" s="26"/>
      <c r="H4" s="27"/>
      <c r="I4" s="27" t="s">
        <v>119</v>
      </c>
      <c r="J4" s="29" t="s">
        <v>120</v>
      </c>
      <c r="K4" s="28" t="s">
        <v>125</v>
      </c>
    </row>
    <row r="5" spans="1:11" s="8" customFormat="1" ht="16.5" x14ac:dyDescent="0.15">
      <c r="A5" s="5" t="s">
        <v>121</v>
      </c>
      <c r="B5" s="4">
        <v>100</v>
      </c>
      <c r="C5" s="30" t="s">
        <v>122</v>
      </c>
      <c r="D5" s="31" t="s">
        <v>117</v>
      </c>
      <c r="E5" s="33" t="s">
        <v>170</v>
      </c>
      <c r="F5" s="32"/>
      <c r="G5" s="32"/>
      <c r="H5" s="30" t="s">
        <v>123</v>
      </c>
      <c r="I5" s="31"/>
      <c r="J5" s="34"/>
      <c r="K5" s="33"/>
    </row>
    <row r="6" spans="1:11" s="8" customFormat="1" ht="16.5" x14ac:dyDescent="0.15">
      <c r="C6" s="32"/>
      <c r="D6" s="31"/>
      <c r="E6" s="33"/>
      <c r="F6" s="32"/>
      <c r="G6" s="32"/>
      <c r="H6" s="32"/>
      <c r="I6" s="31"/>
      <c r="J6" s="34"/>
      <c r="K6" s="33"/>
    </row>
    <row r="7" spans="1:11" s="8" customFormat="1" ht="16.5" x14ac:dyDescent="0.15">
      <c r="D7" s="31"/>
      <c r="E7" s="33"/>
      <c r="I7" s="31"/>
      <c r="J7" s="34"/>
      <c r="K7" s="33"/>
    </row>
    <row r="8" spans="1:11" s="8" customFormat="1" ht="16.5" x14ac:dyDescent="0.15">
      <c r="D8" s="31"/>
      <c r="E8" s="33"/>
      <c r="I8" s="31"/>
      <c r="J8" s="34"/>
      <c r="K8" s="33"/>
    </row>
    <row r="9" spans="1:11" s="8" customFormat="1" ht="16.5" x14ac:dyDescent="0.15">
      <c r="D9" s="31"/>
      <c r="E9" s="33"/>
      <c r="I9" s="31"/>
      <c r="J9" s="34"/>
      <c r="K9" s="33"/>
    </row>
    <row r="10" spans="1:11" s="8" customFormat="1" ht="16.5" x14ac:dyDescent="0.15">
      <c r="D10" s="31"/>
      <c r="E10" s="33"/>
      <c r="I10" s="31"/>
      <c r="J10" s="34"/>
      <c r="K10" s="33"/>
    </row>
    <row r="11" spans="1:11" s="8" customFormat="1" ht="16.5" x14ac:dyDescent="0.15">
      <c r="D11" s="31"/>
      <c r="E11" s="33"/>
      <c r="I11" s="31"/>
      <c r="J11" s="34"/>
      <c r="K11" s="33"/>
    </row>
    <row r="12" spans="1:11" s="8" customFormat="1" ht="16.5" x14ac:dyDescent="0.15">
      <c r="D12" s="31"/>
      <c r="E12" s="33"/>
      <c r="I12" s="31"/>
      <c r="J12" s="34"/>
      <c r="K12" s="33"/>
    </row>
    <row r="13" spans="1:11" s="8" customFormat="1" ht="16.5" x14ac:dyDescent="0.15">
      <c r="D13" s="31"/>
      <c r="E13" s="33"/>
      <c r="I13" s="31"/>
      <c r="J13" s="34"/>
      <c r="K13" s="33"/>
    </row>
    <row r="14" spans="1:11" s="8" customFormat="1" ht="16.5" x14ac:dyDescent="0.15">
      <c r="D14" s="31"/>
      <c r="E14" s="33"/>
      <c r="I14" s="31"/>
      <c r="J14" s="34"/>
      <c r="K14" s="33"/>
    </row>
    <row r="15" spans="1:11" s="8" customFormat="1" ht="16.5" x14ac:dyDescent="0.15">
      <c r="D15" s="31"/>
      <c r="E15" s="33"/>
      <c r="I15" s="31"/>
      <c r="J15" s="34"/>
      <c r="K15" s="33"/>
    </row>
    <row r="16" spans="1:11" s="8" customFormat="1" ht="16.5" x14ac:dyDescent="0.15">
      <c r="D16" s="31"/>
      <c r="E16" s="33"/>
      <c r="I16" s="31"/>
      <c r="J16" s="34"/>
      <c r="K16" s="33"/>
    </row>
    <row r="17" spans="4:11" s="8" customFormat="1" ht="16.5" x14ac:dyDescent="0.15">
      <c r="D17" s="31"/>
      <c r="E17" s="33"/>
      <c r="I17" s="31"/>
      <c r="J17" s="34"/>
      <c r="K17" s="33"/>
    </row>
    <row r="18" spans="4:11" s="8" customFormat="1" ht="16.5" x14ac:dyDescent="0.15">
      <c r="D18" s="31"/>
      <c r="E18" s="33"/>
      <c r="I18" s="31"/>
      <c r="J18" s="34"/>
      <c r="K18" s="33"/>
    </row>
    <row r="19" spans="4:11" s="8" customFormat="1" ht="16.5" x14ac:dyDescent="0.15">
      <c r="D19" s="31"/>
      <c r="E19" s="33"/>
      <c r="I19" s="31"/>
      <c r="J19" s="34"/>
      <c r="K19" s="33"/>
    </row>
    <row r="20" spans="4:11" s="8" customFormat="1" ht="16.5" x14ac:dyDescent="0.15">
      <c r="D20" s="31"/>
      <c r="E20" s="33"/>
      <c r="I20" s="31"/>
      <c r="J20" s="34"/>
      <c r="K20" s="33"/>
    </row>
    <row r="21" spans="4:11" s="8" customFormat="1" ht="16.5" x14ac:dyDescent="0.15">
      <c r="D21" s="31"/>
      <c r="E21" s="33"/>
      <c r="I21" s="31"/>
      <c r="J21" s="34"/>
      <c r="K21" s="33"/>
    </row>
    <row r="22" spans="4:11" s="8" customFormat="1" ht="16.5" x14ac:dyDescent="0.15">
      <c r="D22" s="31"/>
      <c r="E22" s="33"/>
      <c r="I22" s="31"/>
      <c r="J22" s="34"/>
      <c r="K22" s="33"/>
    </row>
    <row r="23" spans="4:11" s="8" customFormat="1" ht="16.5" x14ac:dyDescent="0.15">
      <c r="D23" s="31"/>
      <c r="E23" s="33"/>
      <c r="I23" s="31"/>
      <c r="J23" s="34"/>
      <c r="K23" s="33"/>
    </row>
    <row r="24" spans="4:11" s="8" customFormat="1" ht="16.5" x14ac:dyDescent="0.15">
      <c r="D24" s="31"/>
      <c r="E24" s="33"/>
      <c r="I24" s="31"/>
      <c r="J24" s="34"/>
      <c r="K24" s="33"/>
    </row>
    <row r="25" spans="4:11" s="8" customFormat="1" ht="16.5" x14ac:dyDescent="0.15">
      <c r="D25" s="31"/>
      <c r="E25" s="33"/>
      <c r="I25" s="31"/>
      <c r="J25" s="34"/>
      <c r="K25" s="33"/>
    </row>
    <row r="26" spans="4:11" s="8" customFormat="1" ht="16.5" x14ac:dyDescent="0.15">
      <c r="D26" s="31"/>
      <c r="E26" s="33"/>
      <c r="I26" s="31"/>
      <c r="J26" s="34"/>
      <c r="K26" s="33"/>
    </row>
    <row r="27" spans="4:11" s="8" customFormat="1" ht="16.5" x14ac:dyDescent="0.15">
      <c r="D27" s="31"/>
      <c r="E27" s="33"/>
      <c r="I27" s="31"/>
      <c r="J27" s="34"/>
      <c r="K27" s="33"/>
    </row>
    <row r="28" spans="4:11" s="8" customFormat="1" ht="16.5" x14ac:dyDescent="0.15">
      <c r="D28" s="31"/>
      <c r="E28" s="33"/>
      <c r="I28" s="31"/>
      <c r="J28" s="34"/>
      <c r="K28" s="33"/>
    </row>
    <row r="29" spans="4:11" s="8" customFormat="1" ht="16.5" x14ac:dyDescent="0.15">
      <c r="D29" s="31"/>
      <c r="E29" s="33"/>
      <c r="I29" s="31"/>
      <c r="J29" s="34"/>
      <c r="K29" s="33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413D-E4BF-4ED9-975A-8BC571FD5BA1}">
  <sheetPr codeName="Sheet13"/>
  <dimension ref="C1:C24"/>
  <sheetViews>
    <sheetView workbookViewId="0">
      <selection activeCell="C4" sqref="C4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178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24"/>
  <sheetViews>
    <sheetView workbookViewId="0">
      <selection activeCell="D4" sqref="D4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95</v>
      </c>
      <c r="C1" t="s">
        <v>50</v>
      </c>
    </row>
    <row r="2" spans="1:3" x14ac:dyDescent="0.15">
      <c r="A2">
        <v>1</v>
      </c>
      <c r="B2" t="s">
        <v>148</v>
      </c>
      <c r="C2" s="35" t="s">
        <v>126</v>
      </c>
    </row>
    <row r="3" spans="1:3" x14ac:dyDescent="0.15">
      <c r="A3">
        <v>2</v>
      </c>
      <c r="B3" t="s">
        <v>149</v>
      </c>
      <c r="C3" s="35" t="s">
        <v>127</v>
      </c>
    </row>
    <row r="4" spans="1:3" x14ac:dyDescent="0.15">
      <c r="A4">
        <v>3</v>
      </c>
      <c r="B4" t="s">
        <v>150</v>
      </c>
      <c r="C4" s="35" t="s">
        <v>128</v>
      </c>
    </row>
    <row r="5" spans="1:3" x14ac:dyDescent="0.15">
      <c r="A5">
        <v>4</v>
      </c>
      <c r="B5" t="s">
        <v>151</v>
      </c>
      <c r="C5" s="35" t="s">
        <v>129</v>
      </c>
    </row>
    <row r="6" spans="1:3" x14ac:dyDescent="0.15">
      <c r="A6">
        <v>5</v>
      </c>
      <c r="B6" t="s">
        <v>152</v>
      </c>
      <c r="C6" s="35" t="s">
        <v>130</v>
      </c>
    </row>
    <row r="7" spans="1:3" x14ac:dyDescent="0.15">
      <c r="A7">
        <v>6</v>
      </c>
      <c r="B7" t="s">
        <v>153</v>
      </c>
      <c r="C7" t="s">
        <v>131</v>
      </c>
    </row>
    <row r="8" spans="1:3" x14ac:dyDescent="0.15">
      <c r="A8">
        <v>7</v>
      </c>
      <c r="B8" t="s">
        <v>154</v>
      </c>
      <c r="C8" t="s">
        <v>132</v>
      </c>
    </row>
    <row r="9" spans="1:3" x14ac:dyDescent="0.15">
      <c r="A9">
        <v>8</v>
      </c>
      <c r="B9" t="s">
        <v>155</v>
      </c>
      <c r="C9" t="s">
        <v>133</v>
      </c>
    </row>
    <row r="10" spans="1:3" x14ac:dyDescent="0.15">
      <c r="A10">
        <v>9</v>
      </c>
      <c r="B10" t="s">
        <v>156</v>
      </c>
      <c r="C10" t="s">
        <v>134</v>
      </c>
    </row>
    <row r="11" spans="1:3" x14ac:dyDescent="0.15">
      <c r="A11">
        <v>10</v>
      </c>
      <c r="B11" t="s">
        <v>157</v>
      </c>
      <c r="C11" t="s">
        <v>135</v>
      </c>
    </row>
    <row r="12" spans="1:3" x14ac:dyDescent="0.15">
      <c r="A12">
        <v>11</v>
      </c>
      <c r="B12" t="s">
        <v>158</v>
      </c>
      <c r="C12" t="s">
        <v>136</v>
      </c>
    </row>
    <row r="13" spans="1:3" x14ac:dyDescent="0.15">
      <c r="A13">
        <v>12</v>
      </c>
      <c r="B13" t="s">
        <v>159</v>
      </c>
      <c r="C13" s="35" t="s">
        <v>137</v>
      </c>
    </row>
    <row r="14" spans="1:3" x14ac:dyDescent="0.15">
      <c r="A14">
        <v>13</v>
      </c>
      <c r="B14" t="s">
        <v>160</v>
      </c>
      <c r="C14" s="35" t="s">
        <v>138</v>
      </c>
    </row>
    <row r="15" spans="1:3" x14ac:dyDescent="0.15">
      <c r="A15">
        <v>14</v>
      </c>
      <c r="B15" t="s">
        <v>161</v>
      </c>
      <c r="C15" s="35" t="s">
        <v>139</v>
      </c>
    </row>
    <row r="16" spans="1:3" x14ac:dyDescent="0.15">
      <c r="A16">
        <v>15</v>
      </c>
      <c r="B16" t="s">
        <v>162</v>
      </c>
      <c r="C16" s="35" t="s">
        <v>140</v>
      </c>
    </row>
    <row r="17" spans="1:3" x14ac:dyDescent="0.15">
      <c r="A17">
        <v>16</v>
      </c>
      <c r="B17" t="s">
        <v>163</v>
      </c>
      <c r="C17" s="35" t="s">
        <v>141</v>
      </c>
    </row>
    <row r="18" spans="1:3" x14ac:dyDescent="0.15">
      <c r="A18">
        <v>17</v>
      </c>
      <c r="B18" t="s">
        <v>164</v>
      </c>
      <c r="C18" s="35" t="s">
        <v>142</v>
      </c>
    </row>
    <row r="19" spans="1:3" x14ac:dyDescent="0.15">
      <c r="A19">
        <v>18</v>
      </c>
      <c r="B19" t="s">
        <v>165</v>
      </c>
      <c r="C19" s="35" t="s">
        <v>143</v>
      </c>
    </row>
    <row r="20" spans="1:3" x14ac:dyDescent="0.15">
      <c r="A20">
        <v>19</v>
      </c>
      <c r="B20" t="s">
        <v>166</v>
      </c>
      <c r="C20" s="35" t="s">
        <v>144</v>
      </c>
    </row>
    <row r="21" spans="1:3" x14ac:dyDescent="0.15">
      <c r="A21">
        <v>20</v>
      </c>
      <c r="B21" t="s">
        <v>167</v>
      </c>
      <c r="C21" s="35" t="s">
        <v>145</v>
      </c>
    </row>
    <row r="22" spans="1:3" x14ac:dyDescent="0.15">
      <c r="A22">
        <v>21</v>
      </c>
      <c r="B22" t="s">
        <v>168</v>
      </c>
      <c r="C22" s="35" t="s">
        <v>146</v>
      </c>
    </row>
    <row r="23" spans="1:3" x14ac:dyDescent="0.15">
      <c r="A23">
        <v>22</v>
      </c>
      <c r="B23" t="s">
        <v>169</v>
      </c>
      <c r="C23" s="35" t="s">
        <v>147</v>
      </c>
    </row>
    <row r="24" spans="1:3" x14ac:dyDescent="0.15">
      <c r="C24" s="35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F1:H77"/>
  <sheetViews>
    <sheetView topLeftCell="E8" workbookViewId="0">
      <selection activeCell="E16" sqref="E16"/>
    </sheetView>
  </sheetViews>
  <sheetFormatPr defaultColWidth="9" defaultRowHeight="13.5" x14ac:dyDescent="0.15"/>
  <cols>
    <col min="1" max="4" width="0" style="1" hidden="1" customWidth="1"/>
    <col min="5" max="5" width="9" style="1"/>
    <col min="6" max="7" width="25.12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176</v>
      </c>
    </row>
    <row r="11" spans="6:8" ht="16.5" x14ac:dyDescent="0.15">
      <c r="F11" s="5" t="s">
        <v>1</v>
      </c>
      <c r="G11" s="4" t="s">
        <v>177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50</v>
      </c>
    </row>
    <row r="22" spans="6:8" x14ac:dyDescent="0.15">
      <c r="F22" s="6"/>
    </row>
    <row r="23" spans="6:8" ht="16.5" x14ac:dyDescent="0.15">
      <c r="F23" s="5" t="s">
        <v>22</v>
      </c>
      <c r="G23" s="4">
        <v>1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72</v>
      </c>
      <c r="G39" s="4">
        <v>7</v>
      </c>
    </row>
    <row r="40" spans="6:8" x14ac:dyDescent="0.15">
      <c r="F40" s="6"/>
    </row>
    <row r="41" spans="6:8" ht="16.5" x14ac:dyDescent="0.15">
      <c r="F41" s="5" t="s">
        <v>77</v>
      </c>
      <c r="G41" s="4" t="s">
        <v>79</v>
      </c>
      <c r="H41" s="3" t="s">
        <v>0</v>
      </c>
    </row>
    <row r="42" spans="6:8" x14ac:dyDescent="0.15">
      <c r="F42" s="6"/>
    </row>
    <row r="43" spans="6:8" ht="16.5" x14ac:dyDescent="0.15">
      <c r="F43" s="5" t="s">
        <v>78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74</v>
      </c>
      <c r="G45" s="4">
        <v>9</v>
      </c>
    </row>
    <row r="46" spans="6:8" x14ac:dyDescent="0.15">
      <c r="F46" s="6"/>
    </row>
    <row r="47" spans="6:8" ht="16.5" x14ac:dyDescent="0.15">
      <c r="F47" s="5" t="s">
        <v>73</v>
      </c>
      <c r="G47" s="4">
        <v>10</v>
      </c>
    </row>
    <row r="48" spans="6:8" x14ac:dyDescent="0.15">
      <c r="F48" s="6"/>
    </row>
    <row r="49" spans="6:7" ht="16.5" x14ac:dyDescent="0.15">
      <c r="F49" s="5" t="s">
        <v>75</v>
      </c>
      <c r="G49" s="4">
        <v>11</v>
      </c>
    </row>
    <row r="50" spans="6:7" x14ac:dyDescent="0.15">
      <c r="F50" s="6"/>
    </row>
    <row r="51" spans="6:7" ht="16.5" x14ac:dyDescent="0.15">
      <c r="F51" s="5" t="s">
        <v>76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1</v>
      </c>
    </row>
    <row r="58" spans="6:7" x14ac:dyDescent="0.15">
      <c r="F58" s="6"/>
    </row>
    <row r="59" spans="6:7" ht="16.5" x14ac:dyDescent="0.15">
      <c r="F59" s="5" t="s">
        <v>45</v>
      </c>
      <c r="G59" s="4">
        <v>2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7" ht="16.5" x14ac:dyDescent="0.15">
      <c r="F65" s="5" t="s">
        <v>8</v>
      </c>
      <c r="G65" s="4">
        <v>8</v>
      </c>
    </row>
    <row r="66" spans="6:7" x14ac:dyDescent="0.15">
      <c r="F66" s="6"/>
    </row>
    <row r="67" spans="6:7" ht="16.5" x14ac:dyDescent="0.15">
      <c r="F67" s="5" t="s">
        <v>52</v>
      </c>
      <c r="G67" s="4">
        <v>4</v>
      </c>
    </row>
    <row r="69" spans="6:7" ht="16.5" x14ac:dyDescent="0.15">
      <c r="F69" s="5" t="s">
        <v>70</v>
      </c>
      <c r="G69" s="4" t="s">
        <v>25</v>
      </c>
    </row>
    <row r="71" spans="6:7" ht="16.5" x14ac:dyDescent="0.15">
      <c r="F71" s="5" t="s">
        <v>98</v>
      </c>
      <c r="G71" s="4" t="s">
        <v>68</v>
      </c>
    </row>
    <row r="73" spans="6:7" ht="16.5" x14ac:dyDescent="0.15">
      <c r="F73" s="5" t="s">
        <v>99</v>
      </c>
      <c r="G73" s="4" t="s">
        <v>118</v>
      </c>
    </row>
    <row r="75" spans="6:7" ht="16.5" x14ac:dyDescent="0.15">
      <c r="F75" s="5" t="s">
        <v>111</v>
      </c>
      <c r="G75" s="4" t="s">
        <v>112</v>
      </c>
    </row>
    <row r="77" spans="6:7" ht="16.5" x14ac:dyDescent="0.15">
      <c r="F77" s="5" t="s">
        <v>113</v>
      </c>
      <c r="G77" s="4" t="s">
        <v>114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6:E12"/>
  <sheetViews>
    <sheetView workbookViewId="0">
      <selection activeCell="A7" sqref="A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65</v>
      </c>
      <c r="D6" s="4" t="s">
        <v>110</v>
      </c>
      <c r="E6" s="19" t="s">
        <v>109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81</v>
      </c>
      <c r="C1" t="s">
        <v>82</v>
      </c>
    </row>
    <row r="2" spans="2:3" x14ac:dyDescent="0.15">
      <c r="B2" s="20"/>
      <c r="C2" t="s">
        <v>104</v>
      </c>
    </row>
    <row r="3" spans="2:3" x14ac:dyDescent="0.15">
      <c r="B3" s="20"/>
      <c r="C3" t="s">
        <v>105</v>
      </c>
    </row>
    <row r="4" spans="2:3" x14ac:dyDescent="0.15">
      <c r="C4" t="s">
        <v>106</v>
      </c>
    </row>
    <row r="5" spans="2:3" x14ac:dyDescent="0.15">
      <c r="C5" t="s">
        <v>115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3:C18"/>
  <sheetViews>
    <sheetView workbookViewId="0">
      <selection activeCell="F11" sqref="F11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83</v>
      </c>
    </row>
    <row r="5" spans="2:2" x14ac:dyDescent="0.15">
      <c r="B5" s="21" t="s">
        <v>84</v>
      </c>
    </row>
    <row r="7" spans="2:2" x14ac:dyDescent="0.15">
      <c r="B7" s="22" t="s">
        <v>180</v>
      </c>
    </row>
    <row r="8" spans="2:2" x14ac:dyDescent="0.15">
      <c r="B8" s="21" t="s">
        <v>85</v>
      </c>
    </row>
    <row r="9" spans="2:2" x14ac:dyDescent="0.15">
      <c r="B9" s="21" t="s">
        <v>86</v>
      </c>
    </row>
    <row r="10" spans="2:2" x14ac:dyDescent="0.15">
      <c r="B10" s="21" t="s">
        <v>87</v>
      </c>
    </row>
    <row r="12" spans="2:2" x14ac:dyDescent="0.15">
      <c r="B12" s="22" t="s">
        <v>181</v>
      </c>
    </row>
    <row r="13" spans="2:2" x14ac:dyDescent="0.15">
      <c r="B13" s="21" t="s">
        <v>182</v>
      </c>
    </row>
    <row r="14" spans="2:2" x14ac:dyDescent="0.15">
      <c r="B14" s="21" t="s">
        <v>183</v>
      </c>
    </row>
    <row r="15" spans="2:2" x14ac:dyDescent="0.15">
      <c r="B15" s="21" t="s">
        <v>184</v>
      </c>
    </row>
    <row r="17" spans="2:3" x14ac:dyDescent="0.15">
      <c r="B17" s="22" t="s">
        <v>88</v>
      </c>
    </row>
    <row r="18" spans="2:3" x14ac:dyDescent="0.15">
      <c r="B18" s="21" t="s">
        <v>89</v>
      </c>
      <c r="C18" s="21" t="s">
        <v>179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2018-12-27T12:59:19Z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