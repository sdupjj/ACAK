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2\"/>
    </mc:Choice>
  </mc:AlternateContent>
  <xr:revisionPtr revIDLastSave="0" documentId="13_ncr:1_{F46CC951-8D1F-4D5C-835A-B7426FEFB749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debug" sheetId="15" r:id="rId8"/>
    <sheet name="core_actions" sheetId="11" state="hidden" r:id="rId9"/>
    <sheet name="core_setup" sheetId="4" state="hidden" r:id="rId10"/>
    <sheet name="草稿" sheetId="16" state="hidden" r:id="rId11"/>
    <sheet name="core_display_setup" sheetId="12" state="hidden" r:id="rId12"/>
    <sheet name="core_changelog" sheetId="13" state="hidden" r:id="rId13"/>
    <sheet name="core_about" sheetId="14" state="hidden" r:id="rId14"/>
  </sheets>
  <functionGroups builtInGroupCount="19"/>
  <definedNames>
    <definedName name="_xlnm._FilterDatabase" localSheetId="10" hidden="1">草稿!$C$1:$H$30</definedName>
  </definedNames>
  <calcPr calcId="181029"/>
</workbook>
</file>

<file path=xl/calcChain.xml><?xml version="1.0" encoding="utf-8"?>
<calcChain xmlns="http://schemas.openxmlformats.org/spreadsheetml/2006/main">
  <c r="J20" i="16" l="1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19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2" i="16"/>
  <c r="G21" i="16" l="1"/>
  <c r="G22" i="16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20" i="16"/>
  <c r="G19" i="16"/>
  <c r="G4" i="16"/>
  <c r="G5" i="16"/>
  <c r="G6" i="16" s="1"/>
  <c r="G7" i="16" s="1"/>
  <c r="G8" i="16" s="1"/>
  <c r="G9" i="16" s="1"/>
  <c r="G10" i="16" s="1"/>
  <c r="G11" i="16" s="1"/>
  <c r="G12" i="16" s="1"/>
  <c r="G13" i="16" s="1"/>
  <c r="G14" i="16" s="1"/>
  <c r="G15" i="16" s="1"/>
  <c r="G16" i="16" s="1"/>
  <c r="G17" i="16" s="1"/>
  <c r="G18" i="16" s="1"/>
  <c r="G3" i="16"/>
  <c r="G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2" i="16"/>
  <c r="F10" i="3" l="1"/>
  <c r="F12" i="3"/>
  <c r="F9" i="3"/>
</calcChain>
</file>

<file path=xl/sharedStrings.xml><?xml version="1.0" encoding="utf-8"?>
<sst xmlns="http://schemas.openxmlformats.org/spreadsheetml/2006/main" count="266" uniqueCount="241">
  <si>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</si>
  <si>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</si>
  <si>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</si>
  <si>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</si>
  <si>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</si>
  <si>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</si>
  <si>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</si>
  <si>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</si>
  <si>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</si>
  <si>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</si>
  <si>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</si>
  <si>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</si>
  <si>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</si>
  <si>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</si>
  <si>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</si>
  <si>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</si>
  <si>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</si>
  <si>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</si>
  <si>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</si>
  <si>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</si>
  <si>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</si>
  <si>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</si>
  <si>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</si>
  <si>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</si>
  <si>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</si>
  <si>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</si>
  <si>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</si>
  <si>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</si>
  <si>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</si>
  <si>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</si>
  <si>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</si>
  <si>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</si>
  <si>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</si>
  <si>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</si>
  <si>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</si>
  <si>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</si>
  <si>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</si>
  <si>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</si>
  <si>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</si>
  <si>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</si>
  <si>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</si>
  <si>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</si>
  <si>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</si>
  <si>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</si>
  <si>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</si>
  <si>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</si>
  <si>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</si>
  <si>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</si>
  <si>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</si>
  <si>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</si>
  <si>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</si>
  <si>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为指定的count加1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</si>
  <si>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</si>
  <si>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</si>
  <si>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</si>
  <si>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空程序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</si>
  <si>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</si>
  <si>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</si>
  <si>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</si>
  <si>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</si>
  <si>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为count原有的值减少1</t>
  </si>
  <si>
    <t>a_BeZero(Whichcount As String)</t>
    <phoneticPr fontId="1" type="noConversion"/>
  </si>
  <si>
    <t>设置count的值为0</t>
    <phoneticPr fontId="1" type="noConversion"/>
  </si>
  <si>
    <t>a_BeOne(Whichcount As String)</t>
    <phoneticPr fontId="1" type="noConversion"/>
  </si>
  <si>
    <t>设置count的值为1</t>
    <phoneticPr fontId="1" type="noConversion"/>
  </si>
  <si>
    <t>a_ShapeShow(PS As String)</t>
    <phoneticPr fontId="1" type="noConversion"/>
  </si>
  <si>
    <t>显示备注，which放在图形中</t>
    <phoneticPr fontId="1" type="noConversion"/>
  </si>
  <si>
    <t>a_ShapeHide()</t>
    <phoneticPr fontId="1" type="noConversion"/>
  </si>
  <si>
    <t>隐藏备注</t>
    <phoneticPr fontId="1" type="noConversion"/>
  </si>
  <si>
    <t>a_OpenOne()</t>
    <phoneticPr fontId="1" type="noConversion"/>
  </si>
  <si>
    <t>设置one引擎能被打开</t>
    <phoneticPr fontId="1" type="noConversion"/>
  </si>
  <si>
    <t>a_CloseOne()</t>
    <phoneticPr fontId="1" type="noConversion"/>
  </si>
  <si>
    <t>设置one引擎不能被打开</t>
    <phoneticPr fontId="1" type="noConversion"/>
  </si>
  <si>
    <t>a_OpenActions()</t>
    <phoneticPr fontId="1" type="noConversion"/>
  </si>
  <si>
    <t>打开执行动作功能</t>
    <phoneticPr fontId="1" type="noConversion"/>
  </si>
  <si>
    <t>a_CloseActions()</t>
    <phoneticPr fontId="1" type="noConversion"/>
  </si>
  <si>
    <t>关闭执行动作功能</t>
    <phoneticPr fontId="1" type="noConversion"/>
  </si>
  <si>
    <t>a_IniExcelName()</t>
    <phoneticPr fontId="1" type="noConversion"/>
  </si>
  <si>
    <t>把excel工作簿本身的名字，写入 setup</t>
    <phoneticPr fontId="1" type="noConversion"/>
  </si>
  <si>
    <t>a_SimpleExcel(TrueOrFalse As String)</t>
    <phoneticPr fontId="1" type="noConversion"/>
  </si>
  <si>
    <t>是否简单化excelsheet页的显示 让他看上去更像一个程序</t>
    <phoneticPr fontId="1" type="noConversion"/>
  </si>
  <si>
    <t>a_ShowExcelSize(MinNormalMax As String)</t>
    <phoneticPr fontId="1" type="noConversion"/>
  </si>
  <si>
    <t>最大化，最小化，正常化excel工具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</si>
  <si>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</si>
  <si>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</si>
  <si>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</si>
  <si>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a_ShowPage(pagename As String)</t>
    <phoneticPr fontId="1" type="noConversion"/>
  </si>
  <si>
    <t>显示指定的sheet</t>
    <phoneticPr fontId="1" type="noConversion"/>
  </si>
  <si>
    <t>a_ShowPage "core_homepage"</t>
    <phoneticPr fontId="1" type="noConversion"/>
  </si>
  <si>
    <t>When One Start</t>
    <phoneticPr fontId="10" type="noConversion"/>
  </si>
  <si>
    <t>a_BeZero "count02"</t>
    <phoneticPr fontId="10" type="noConversion"/>
  </si>
  <si>
    <t>When One End</t>
    <phoneticPr fontId="10" type="noConversion"/>
  </si>
  <si>
    <t>simple or pro</t>
    <phoneticPr fontId="1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</si>
  <si>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</si>
  <si>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</si>
  <si>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</si>
  <si>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</si>
  <si>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a_CheckFolder()</t>
    <phoneticPr fontId="1" type="noConversion"/>
  </si>
  <si>
    <t>检查指定的文件夹是否存在，不存在则创建</t>
    <phoneticPr fontId="1" type="noConversion"/>
  </si>
  <si>
    <t>a_CheckFolder</t>
    <phoneticPr fontId="1" type="noConversion"/>
  </si>
  <si>
    <t>LogSheet</t>
    <phoneticPr fontId="1" type="noConversion"/>
  </si>
  <si>
    <t>a_LogInTXT()</t>
    <phoneticPr fontId="1" type="noConversion"/>
  </si>
  <si>
    <t>将log 页里面的内容加入到TXT中，log页清空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</si>
  <si>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</si>
  <si>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</si>
  <si>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</si>
  <si>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</si>
  <si>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</si>
  <si>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</si>
  <si>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</si>
  <si>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</si>
  <si>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</si>
  <si>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a_initialM00()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</si>
  <si>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</si>
  <si>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</si>
  <si>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</si>
  <si>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</si>
  <si>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</si>
  <si>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ACAK程序特点：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</si>
  <si>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</si>
  <si>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</si>
  <si>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</si>
  <si>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</si>
  <si>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</si>
  <si>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>a_changeOneLoppNumber(loopnumber As Long)</t>
    <phoneticPr fontId="1" type="noConversion"/>
  </si>
  <si>
    <t>设置one引擎的运作次数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</si>
  <si>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</si>
  <si>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</si>
  <si>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</si>
  <si>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count07=1?</t>
    <phoneticPr fontId="1" type="noConversion"/>
  </si>
  <si>
    <t>a_BeOne "count07"</t>
    <phoneticPr fontId="1" type="noConversion"/>
  </si>
  <si>
    <t>pro</t>
    <phoneticPr fontId="1" type="noConversion"/>
  </si>
  <si>
    <t>Action</t>
    <phoneticPr fontId="1" type="noConversion"/>
  </si>
  <si>
    <t>将M00 中的单次已运行次数设为0，全局已运行次数设为0</t>
    <phoneticPr fontId="1" type="noConversion"/>
  </si>
  <si>
    <t>a_X8</t>
    <phoneticPr fontId="1" type="noConversion"/>
  </si>
  <si>
    <t>a_X8</t>
    <phoneticPr fontId="10" type="noConversion"/>
  </si>
  <si>
    <t>Folder For log</t>
    <phoneticPr fontId="1" type="noConversion"/>
  </si>
  <si>
    <t>Folder For Codes</t>
    <phoneticPr fontId="1" type="noConversion"/>
  </si>
  <si>
    <t>\Codes Backup\</t>
    <phoneticPr fontId="1" type="noConversion"/>
  </si>
  <si>
    <t>导出所有的代码到子文件夹“Codes Backup”</t>
    <phoneticPr fontId="1" type="noConversion"/>
  </si>
  <si>
    <t>ACAK Core 0.9.1 .xlsm - Excel</t>
  </si>
  <si>
    <t>C:\Users\sdupjj\Desktop\folders\vba\ACAK\ACAK Core 0.9.1\</t>
  </si>
  <si>
    <t>a_ExportCode()</t>
    <phoneticPr fontId="1" type="noConversion"/>
  </si>
  <si>
    <t>导出ACAK中所有代码</t>
    <phoneticPr fontId="1" type="noConversion"/>
  </si>
  <si>
    <t>Y</t>
  </si>
  <si>
    <t>Actions</t>
  </si>
  <si>
    <t>func_core_040_actionscamp</t>
  </si>
  <si>
    <t>IFInWhichVBAModule</t>
  </si>
  <si>
    <t>func_core_020_ifcamp</t>
  </si>
  <si>
    <t>EngineColumnSelectMethod</t>
  </si>
  <si>
    <t>ScreenSheet</t>
  </si>
  <si>
    <t>core_screen</t>
  </si>
  <si>
    <t>ShowStatusInWhichCellInScreenSheet</t>
  </si>
  <si>
    <t>I6</t>
  </si>
  <si>
    <t>EngineSetupSheet</t>
  </si>
  <si>
    <t>core_engine_setup</t>
  </si>
  <si>
    <t>ACAKSetupSheet</t>
  </si>
  <si>
    <t>core_ACAK_setup</t>
  </si>
  <si>
    <t>IFSheet</t>
  </si>
  <si>
    <t>core_if</t>
  </si>
  <si>
    <t>CountSheet</t>
  </si>
  <si>
    <t>core_count</t>
  </si>
  <si>
    <t>IFdisplayinScreenCol</t>
  </si>
  <si>
    <t>VinScreenRow</t>
  </si>
  <si>
    <t>N</t>
  </si>
  <si>
    <t>LogSheet</t>
  </si>
  <si>
    <t>core_log</t>
  </si>
  <si>
    <t>\log\</t>
  </si>
  <si>
    <t>\Codes Backup\</t>
  </si>
  <si>
    <t>A</t>
    <phoneticPr fontId="1" type="noConversion"/>
  </si>
  <si>
    <t>B</t>
    <phoneticPr fontId="1" type="noConversion"/>
  </si>
  <si>
    <t>E</t>
    <phoneticPr fontId="1" type="noConversion"/>
  </si>
  <si>
    <t>ACAKfilename</t>
  </si>
  <si>
    <t>ExcelPath</t>
  </si>
  <si>
    <t>M02ColStartNumber</t>
  </si>
  <si>
    <t>M02Cols</t>
  </si>
  <si>
    <t>FolderForCodes</t>
  </si>
  <si>
    <t>ACAK file name</t>
  </si>
  <si>
    <t>Excel Path</t>
  </si>
  <si>
    <t>Open Engine</t>
  </si>
  <si>
    <t>Engine Loop</t>
  </si>
  <si>
    <t>M00 Judge TOTAL MAX</t>
  </si>
  <si>
    <t>M00 Judge ONE MAX</t>
  </si>
  <si>
    <t>M00 ROW TOTAL MAX</t>
  </si>
  <si>
    <t>M00 ROW TOTAL</t>
  </si>
  <si>
    <t>M00 ROW ONE MAX</t>
  </si>
  <si>
    <t>M00 ROW ONE</t>
  </si>
  <si>
    <t>M01 Row Start Number</t>
  </si>
  <si>
    <t>M01 Col Start Number</t>
  </si>
  <si>
    <t>M01 Rows</t>
  </si>
  <si>
    <t>M01 Cols</t>
  </si>
  <si>
    <t>M02 Row Start Number</t>
  </si>
  <si>
    <t>M02 Col Start Number</t>
  </si>
  <si>
    <t>M02 Rows</t>
  </si>
  <si>
    <t>M02 Cols</t>
  </si>
  <si>
    <t>Folder For log</t>
  </si>
  <si>
    <t>Folder For Codes</t>
  </si>
  <si>
    <t>a_LoadSetupVariables()</t>
    <phoneticPr fontId="1" type="noConversion"/>
  </si>
  <si>
    <t>将core_setup中的变量导入到公共变量中去</t>
    <phoneticPr fontId="1" type="noConversion"/>
  </si>
  <si>
    <t>a_X8()</t>
    <phoneticPr fontId="1" type="noConversion"/>
  </si>
  <si>
    <t>a_AddOne(Whichcount As String)</t>
    <phoneticPr fontId="1" type="noConversion"/>
  </si>
  <si>
    <t>a_ReduceOne(Whichcount As String)</t>
    <phoneticPr fontId="1" type="noConversion"/>
  </si>
  <si>
    <t>a_IniExcelName</t>
    <phoneticPr fontId="1" type="noConversion"/>
  </si>
  <si>
    <t>a_LoadSetupVariables</t>
    <phoneticPr fontId="1" type="noConversion"/>
  </si>
  <si>
    <t>CountSheet</t>
    <phoneticPr fontId="1" type="noConversion"/>
  </si>
  <si>
    <t>LogSheet</t>
    <phoneticPr fontId="1" type="noConversion"/>
  </si>
  <si>
    <t>ScreenSheet</t>
    <phoneticPr fontId="1" type="noConversion"/>
  </si>
  <si>
    <t>FolderForlog</t>
    <phoneticPr fontId="1" type="noConversion"/>
  </si>
  <si>
    <t>M01Cols</t>
    <phoneticPr fontId="1" type="noConversion"/>
  </si>
  <si>
    <t>M01ColStartNumber</t>
    <phoneticPr fontId="1" type="noConversion"/>
  </si>
  <si>
    <t>M00ROWTOTAL</t>
    <phoneticPr fontId="1" type="noConversion"/>
  </si>
  <si>
    <t>M00ROWONE</t>
    <phoneticPr fontId="1" type="noConversion"/>
  </si>
  <si>
    <t>VinScreenRow</t>
    <phoneticPr fontId="1" type="noConversion"/>
  </si>
  <si>
    <t>EngineSetupSheet</t>
    <phoneticPr fontId="1" type="noConversion"/>
  </si>
  <si>
    <t>ActionsInWhichVBAModule</t>
    <phoneticPr fontId="1" type="noConversion"/>
  </si>
  <si>
    <t>M02RowStartNumber</t>
    <phoneticPr fontId="1" type="noConversion"/>
  </si>
  <si>
    <t>M02Rows</t>
    <phoneticPr fontId="1" type="noConversion"/>
  </si>
  <si>
    <t>EngineLoop</t>
    <phoneticPr fontId="1" type="noConversion"/>
  </si>
  <si>
    <t>OpenEngine</t>
    <phoneticPr fontId="1" type="noConversion"/>
  </si>
  <si>
    <t>Actions</t>
    <phoneticPr fontId="1" type="noConversion"/>
  </si>
  <si>
    <t>IFdisplayinScreenCol</t>
    <phoneticPr fontId="1" type="noConversion"/>
  </si>
  <si>
    <t>M01Rows</t>
    <phoneticPr fontId="1" type="noConversion"/>
  </si>
  <si>
    <t>M01RowStartNumber</t>
    <phoneticPr fontId="1" type="noConversion"/>
  </si>
  <si>
    <t>EngineColumnSelectMethod</t>
    <phoneticPr fontId="1" type="noConversion"/>
  </si>
  <si>
    <t>M00ROWTOTALMAX</t>
    <phoneticPr fontId="1" type="noConversion"/>
  </si>
  <si>
    <t>M00ROWONEMAX</t>
    <phoneticPr fontId="1" type="noConversion"/>
  </si>
  <si>
    <t>M00JudgeTOTALMAX</t>
    <phoneticPr fontId="1" type="noConversion"/>
  </si>
  <si>
    <t>M00JudgeONEMAX</t>
    <phoneticPr fontId="1" type="noConversion"/>
  </si>
  <si>
    <t>IFSheet</t>
    <phoneticPr fontId="1" type="noConversion"/>
  </si>
  <si>
    <t>IFInWhichVBAModule</t>
    <phoneticPr fontId="1" type="noConversion"/>
  </si>
  <si>
    <t>ShowStatusInWhichCellInScreenSheet</t>
    <phoneticPr fontId="1" type="noConversion"/>
  </si>
  <si>
    <t>a_LoadSetupVariables</t>
    <phoneticPr fontId="10" type="noConversion"/>
  </si>
  <si>
    <t>Done</t>
    <phoneticPr fontId="1" type="noConversion"/>
  </si>
  <si>
    <t>ACAK Core 0.9.2 .xlsm - Excel</t>
    <phoneticPr fontId="1" type="noConversion"/>
  </si>
  <si>
    <t>C:\Users\sdupjj\Desktop\folders\vba\ACAK\ACAK Core 0.9.2\</t>
    <phoneticPr fontId="1" type="noConversion"/>
  </si>
  <si>
    <t>0.9 核心架构完成</t>
    <phoneticPr fontId="1" type="noConversion"/>
  </si>
  <si>
    <t>0.9.2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</si>
  <si>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</si>
  <si>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</si>
  <si>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</si>
  <si>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a_AddOne "count07"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</si>
</sst>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AA74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0" borderId="0" xfId="0" applyFont="1" applyFill="1">
      <alignment vertical="center"/>
    </xf>
    <xf numFmtId="0" fontId="9" fillId="12" borderId="0" xfId="0" applyFont="1" applyFill="1" applyAlignment="1"/>
    <xf numFmtId="0" fontId="0" fillId="3" borderId="0" xfId="0" applyFill="1" applyAlignment="1"/>
    <xf numFmtId="0" fontId="0" fillId="13" borderId="0" xfId="0" applyFill="1">
      <alignment vertical="center"/>
    </xf>
    <xf numFmtId="0" fontId="2" fillId="13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1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8" fillId="9" borderId="0" xfId="0" applyFont="1" applyFill="1" applyBorder="1" applyAlignment="1">
      <alignment horizontal="center" vertical="center"/>
    </xf>
    <xf numFmtId="0" fontId="8" fillId="14" borderId="0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一次状态检查</a:t>
          </a:r>
          <a:endParaRPr lang="en-US" sz="11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/>
            <a:t>发动</a:t>
          </a:r>
          <a:r>
            <a:rPr lang="en-US" sz="12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开启</a:t>
          </a:r>
          <a:endParaRPr lang="en-US" altLang="zh-CN" sz="1100"/>
        </a:p>
        <a:p>
          <a:pPr algn="l"/>
          <a:r>
            <a:rPr lang="en-US" altLang="zh-CN" sz="11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开启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动作</a:t>
          </a:r>
          <a:endParaRPr lang="en-US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  <a:p>
          <a:pPr algn="l"/>
          <a:r>
            <a:rPr lang="en-US" altLang="zh-CN" sz="11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  <a:p>
          <a:pPr algn="l"/>
          <a:r>
            <a:rPr lang="zh-CN" altLang="en-US" sz="1100"/>
            <a:t>动作</a:t>
          </a:r>
          <a:endParaRPr lang="en-US" altLang="zh-CN" sz="11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引擎最大单次允许运行次数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7</xdr:row>
      <xdr:rowOff>231914</xdr:rowOff>
    </xdr:from>
    <xdr:to>
      <xdr:col>11</xdr:col>
      <xdr:colOff>612937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8</xdr:row>
      <xdr:rowOff>223631</xdr:rowOff>
    </xdr:from>
    <xdr:to>
      <xdr:col>11</xdr:col>
      <xdr:colOff>612937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66261</xdr:colOff>
      <xdr:row>9</xdr:row>
      <xdr:rowOff>198783</xdr:rowOff>
    </xdr:from>
    <xdr:to>
      <xdr:col>11</xdr:col>
      <xdr:colOff>617493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74544</xdr:colOff>
      <xdr:row>11</xdr:row>
      <xdr:rowOff>41413</xdr:rowOff>
    </xdr:from>
    <xdr:to>
      <xdr:col>11</xdr:col>
      <xdr:colOff>625776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15</xdr:row>
      <xdr:rowOff>0</xdr:rowOff>
    </xdr:from>
    <xdr:to>
      <xdr:col>8</xdr:col>
      <xdr:colOff>483454</xdr:colOff>
      <xdr:row>19</xdr:row>
      <xdr:rowOff>15227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oneCell">
    <xdr:from>
      <xdr:col>8</xdr:col>
      <xdr:colOff>251712</xdr:colOff>
      <xdr:row>15</xdr:row>
      <xdr:rowOff>4479</xdr:rowOff>
    </xdr:from>
    <xdr:to>
      <xdr:col>8</xdr:col>
      <xdr:colOff>483454</xdr:colOff>
      <xdr:row>19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16</xdr:row>
      <xdr:rowOff>4479</xdr:rowOff>
    </xdr:from>
    <xdr:to>
      <xdr:col>8</xdr:col>
      <xdr:colOff>483454</xdr:colOff>
      <xdr:row>21</xdr:row>
      <xdr:rowOff>19707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21</xdr:row>
      <xdr:rowOff>15228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203638</xdr:rowOff>
    </xdr:from>
    <xdr:to>
      <xdr:col>10</xdr:col>
      <xdr:colOff>231742</xdr:colOff>
      <xdr:row>21</xdr:row>
      <xdr:rowOff>8191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17</xdr:row>
      <xdr:rowOff>4479</xdr:rowOff>
    </xdr:from>
    <xdr:to>
      <xdr:col>8</xdr:col>
      <xdr:colOff>483454</xdr:colOff>
      <xdr:row>22</xdr:row>
      <xdr:rowOff>19706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15227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22</xdr:row>
      <xdr:rowOff>2091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203638</xdr:rowOff>
    </xdr:from>
    <xdr:to>
      <xdr:col>10</xdr:col>
      <xdr:colOff>231742</xdr:colOff>
      <xdr:row>22</xdr:row>
      <xdr:rowOff>8660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23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23</xdr:row>
      <xdr:rowOff>2089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203638</xdr:rowOff>
    </xdr:from>
    <xdr:to>
      <xdr:col>10</xdr:col>
      <xdr:colOff>231742</xdr:colOff>
      <xdr:row>23</xdr:row>
      <xdr:rowOff>8658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19706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24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203638</xdr:rowOff>
    </xdr:from>
    <xdr:to>
      <xdr:col>10</xdr:col>
      <xdr:colOff>231742</xdr:colOff>
      <xdr:row>24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19707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203638</xdr:rowOff>
    </xdr:from>
    <xdr:to>
      <xdr:col>10</xdr:col>
      <xdr:colOff>231742</xdr:colOff>
      <xdr:row>25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26</xdr:row>
      <xdr:rowOff>2092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203638</xdr:rowOff>
    </xdr:from>
    <xdr:to>
      <xdr:col>10</xdr:col>
      <xdr:colOff>231742</xdr:colOff>
      <xdr:row>26</xdr:row>
      <xdr:rowOff>8661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21</xdr:row>
      <xdr:rowOff>19707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22</xdr:row>
      <xdr:rowOff>19706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21</xdr:row>
      <xdr:rowOff>19707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22</xdr:row>
      <xdr:rowOff>19706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0</xdr:rowOff>
    </xdr:from>
    <xdr:to>
      <xdr:col>10</xdr:col>
      <xdr:colOff>483454</xdr:colOff>
      <xdr:row>19</xdr:row>
      <xdr:rowOff>15227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4479</xdr:rowOff>
    </xdr:from>
    <xdr:to>
      <xdr:col>10</xdr:col>
      <xdr:colOff>483454</xdr:colOff>
      <xdr:row>19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15228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21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21</xdr:row>
      <xdr:rowOff>2091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21</xdr:row>
      <xdr:rowOff>15229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19708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21</xdr:row>
      <xdr:rowOff>15228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21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21</xdr:row>
      <xdr:rowOff>2091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21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21</xdr:row>
      <xdr:rowOff>2091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22</xdr:row>
      <xdr:rowOff>2090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15227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22</xdr:row>
      <xdr:rowOff>2090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22</xdr:row>
      <xdr:rowOff>2090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oneCellAnchor>
    <xdr:from>
      <xdr:col>9</xdr:col>
      <xdr:colOff>251712</xdr:colOff>
      <xdr:row>16</xdr:row>
      <xdr:rowOff>4479</xdr:rowOff>
    </xdr:from>
    <xdr:ext cx="231742" cy="1079786"/>
    <xdr:sp macro="" textlink="">
      <xdr:nvSpPr>
        <xdr:cNvPr id="584" name="五边形 28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 rot="5400000" flipH="1" flipV="1">
          <a:off x="1463749" y="312911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17</xdr:row>
      <xdr:rowOff>4479</xdr:rowOff>
    </xdr:from>
    <xdr:ext cx="231742" cy="1079786"/>
    <xdr:sp macro="" textlink="">
      <xdr:nvSpPr>
        <xdr:cNvPr id="585" name="五边形 32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 rot="5400000" flipH="1" flipV="1">
          <a:off x="1463749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18</xdr:row>
      <xdr:rowOff>4479</xdr:rowOff>
    </xdr:from>
    <xdr:ext cx="231742" cy="1079786"/>
    <xdr:sp macro="" textlink="">
      <xdr:nvSpPr>
        <xdr:cNvPr id="586" name="五边形 36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19</xdr:row>
      <xdr:rowOff>4479</xdr:rowOff>
    </xdr:from>
    <xdr:ext cx="231742" cy="1079786"/>
    <xdr:sp macro="" textlink="">
      <xdr:nvSpPr>
        <xdr:cNvPr id="587" name="五边形 40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638175</xdr:colOff>
      <xdr:row>6</xdr:row>
      <xdr:rowOff>38100</xdr:rowOff>
    </xdr:from>
    <xdr:to>
      <xdr:col>0</xdr:col>
      <xdr:colOff>1313327</xdr:colOff>
      <xdr:row>8</xdr:row>
      <xdr:rowOff>87406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779648" y="92532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0</xdr:rowOff>
    </xdr:from>
    <xdr:to>
      <xdr:col>7</xdr:col>
      <xdr:colOff>675152</xdr:colOff>
      <xdr:row>2</xdr:row>
      <xdr:rowOff>49306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6200000">
          <a:off x="49420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171450</xdr:rowOff>
    </xdr:from>
    <xdr:to>
      <xdr:col>0</xdr:col>
      <xdr:colOff>675152</xdr:colOff>
      <xdr:row>0</xdr:row>
      <xdr:rowOff>563656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57150</xdr:rowOff>
    </xdr:from>
    <xdr:to>
      <xdr:col>2</xdr:col>
      <xdr:colOff>179852</xdr:colOff>
      <xdr:row>2</xdr:row>
      <xdr:rowOff>68356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16200000">
          <a:off x="255773" y="-843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47625</xdr:rowOff>
    </xdr:from>
    <xdr:to>
      <xdr:col>2</xdr:col>
      <xdr:colOff>198902</xdr:colOff>
      <xdr:row>2</xdr:row>
      <xdr:rowOff>96931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16200000">
          <a:off x="274823" y="-938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oneCell">
    <xdr:from>
      <xdr:col>1</xdr:col>
      <xdr:colOff>356152</xdr:colOff>
      <xdr:row>2</xdr:row>
      <xdr:rowOff>126574</xdr:rowOff>
    </xdr:from>
    <xdr:to>
      <xdr:col>4</xdr:col>
      <xdr:colOff>248800</xdr:colOff>
      <xdr:row>6</xdr:row>
      <xdr:rowOff>155570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7152" y="47444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15</xdr:row>
      <xdr:rowOff>33130</xdr:rowOff>
    </xdr:from>
    <xdr:to>
      <xdr:col>2</xdr:col>
      <xdr:colOff>198782</xdr:colOff>
      <xdr:row>16</xdr:row>
      <xdr:rowOff>149087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264215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19</xdr:row>
      <xdr:rowOff>107674</xdr:rowOff>
    </xdr:from>
    <xdr:to>
      <xdr:col>2</xdr:col>
      <xdr:colOff>182217</xdr:colOff>
      <xdr:row>21</xdr:row>
      <xdr:rowOff>49697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41243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17</xdr:row>
      <xdr:rowOff>49696</xdr:rowOff>
    </xdr:from>
    <xdr:to>
      <xdr:col>2</xdr:col>
      <xdr:colOff>182218</xdr:colOff>
      <xdr:row>18</xdr:row>
      <xdr:rowOff>165653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00658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47624</xdr:colOff>
      <xdr:row>0</xdr:row>
      <xdr:rowOff>476250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28587" y="-128587"/>
          <a:ext cx="476250" cy="733424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1704975</xdr:colOff>
      <xdr:row>0</xdr:row>
      <xdr:rowOff>66675</xdr:rowOff>
    </xdr:from>
    <xdr:to>
      <xdr:col>3</xdr:col>
      <xdr:colOff>665627</xdr:colOff>
      <xdr:row>0</xdr:row>
      <xdr:rowOff>458881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6200000">
          <a:off x="521829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7</xdr:row>
      <xdr:rowOff>123825</xdr:rowOff>
    </xdr:from>
    <xdr:to>
      <xdr:col>5</xdr:col>
      <xdr:colOff>27452</xdr:colOff>
      <xdr:row>9</xdr:row>
      <xdr:rowOff>135031</xdr:rowOff>
    </xdr:to>
    <xdr:sp macro="[0]!'a_ShowPage &quot;core_homepage&quot;'" textlink="">
      <xdr:nvSpPr>
        <xdr:cNvPr id="3" name="右箭头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179573" y="-176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294152</xdr:colOff>
      <xdr:row>2</xdr:row>
      <xdr:rowOff>106456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16200000">
          <a:off x="198623" y="-843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0</xdr:col>
      <xdr:colOff>675152</xdr:colOff>
      <xdr:row>3</xdr:row>
      <xdr:rowOff>49306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6"/>
  <sheetViews>
    <sheetView tabSelected="1" topLeftCell="E4" zoomScale="85" zoomScaleNormal="85" workbookViewId="0">
      <selection activeCell="I29" sqref="I29:J29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1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0" hidden="1" x14ac:dyDescent="0.15"/>
    <row r="2" spans="1:10" hidden="1" x14ac:dyDescent="0.15"/>
    <row r="3" spans="1:10" hidden="1" x14ac:dyDescent="0.15"/>
    <row r="4" spans="1:10" s="15" customFormat="1" ht="35.25" customHeight="1" x14ac:dyDescent="0.15"/>
    <row r="5" spans="1:10" ht="10.5" customHeight="1" x14ac:dyDescent="0.15"/>
    <row r="6" spans="1:10" ht="21.75" customHeight="1" x14ac:dyDescent="0.15">
      <c r="I6" s="26" t="s">
        <v>232</v>
      </c>
      <c r="J6" s="25"/>
    </row>
    <row r="7" spans="1:10" ht="21.75" customHeight="1" x14ac:dyDescent="0.15">
      <c r="A7" s="12" t="s">
        <v>57</v>
      </c>
      <c r="I7" s="23"/>
      <c r="J7" s="23" t="s">
        <v>57</v>
      </c>
    </row>
    <row r="8" spans="1:10" ht="21.75" hidden="1" customHeight="1" thickBot="1" x14ac:dyDescent="0.15">
      <c r="F8" s="13"/>
    </row>
    <row r="9" spans="1:10" ht="21.75" customHeight="1" x14ac:dyDescent="0.15">
      <c r="F9" s="13">
        <f>VLOOKUP("Engine Loop",core_setup!F:G,2,0)</f>
        <v>50</v>
      </c>
      <c r="I9" s="13">
        <v>500</v>
      </c>
      <c r="J9" s="13">
        <v>500</v>
      </c>
    </row>
    <row r="10" spans="1:10" x14ac:dyDescent="0.15">
      <c r="F10" s="13">
        <f>core_count!B1</f>
        <v>540</v>
      </c>
      <c r="I10" s="13">
        <v>260</v>
      </c>
      <c r="J10" s="13">
        <v>280</v>
      </c>
    </row>
    <row r="11" spans="1:10" x14ac:dyDescent="0.15">
      <c r="I11" s="13">
        <v>1000</v>
      </c>
      <c r="J11" s="13">
        <v>1000</v>
      </c>
    </row>
    <row r="12" spans="1:10" x14ac:dyDescent="0.15">
      <c r="F12" s="13">
        <f>core_count!B2</f>
        <v>50</v>
      </c>
      <c r="I12" s="13">
        <v>0</v>
      </c>
      <c r="J12" s="13">
        <v>1</v>
      </c>
    </row>
    <row r="14" spans="1:10" hidden="1" x14ac:dyDescent="0.15"/>
    <row r="15" spans="1:10" x14ac:dyDescent="0.35">
      <c r="F15" s="12" t="s">
        <v>129</v>
      </c>
      <c r="G15" s="27">
        <v>1</v>
      </c>
      <c r="I15" s="13">
        <v>0</v>
      </c>
      <c r="J15" s="13">
        <v>1</v>
      </c>
    </row>
    <row r="17" spans="9:10" x14ac:dyDescent="0.15">
      <c r="I17" s="24" t="s">
        <v>240</v>
      </c>
      <c r="J17" s="24" t="s">
        <v>130</v>
      </c>
    </row>
    <row r="18" spans="9:10" x14ac:dyDescent="0.15">
      <c r="I18" s="24" t="s">
        <v>134</v>
      </c>
      <c r="J18" s="24" t="s">
        <v>134</v>
      </c>
    </row>
    <row r="19" spans="9:10" x14ac:dyDescent="0.15">
      <c r="I19" s="24" t="s">
        <v>134</v>
      </c>
      <c r="J19" s="24" t="s">
        <v>134</v>
      </c>
    </row>
    <row r="20" spans="9:10" x14ac:dyDescent="0.15">
      <c r="I20" s="24" t="s">
        <v>134</v>
      </c>
      <c r="J20" s="24" t="s">
        <v>134</v>
      </c>
    </row>
    <row r="21" spans="9:10" x14ac:dyDescent="0.15">
      <c r="I21" s="24" t="s">
        <v>134</v>
      </c>
      <c r="J21" s="24" t="s">
        <v>134</v>
      </c>
    </row>
    <row r="22" spans="9:10" x14ac:dyDescent="0.15">
      <c r="I22" s="24" t="s">
        <v>134</v>
      </c>
      <c r="J22" s="24" t="s">
        <v>134</v>
      </c>
    </row>
    <row r="23" spans="9:10" x14ac:dyDescent="0.15">
      <c r="I23" s="24" t="s">
        <v>134</v>
      </c>
      <c r="J23" s="24" t="s">
        <v>134</v>
      </c>
    </row>
    <row r="24" spans="9:10" x14ac:dyDescent="0.15">
      <c r="I24" s="24" t="s">
        <v>103</v>
      </c>
      <c r="J24" s="24" t="s">
        <v>103</v>
      </c>
    </row>
    <row r="26" spans="9:10" x14ac:dyDescent="0.15">
      <c r="J26" s="12" t="s">
        <v>126</v>
      </c>
    </row>
  </sheetData>
  <mergeCells count="1">
    <mergeCell ref="I6:J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2"/>
  <sheetViews>
    <sheetView zoomScale="145" zoomScaleNormal="145" workbookViewId="0">
      <selection activeCell="B2" sqref="B2"/>
    </sheetView>
  </sheetViews>
  <sheetFormatPr defaultRowHeight="13.5" x14ac:dyDescent="0.15"/>
  <cols>
    <col min="1" max="1" width="22.875" customWidth="1"/>
    <col min="2" max="2" width="50.7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128</v>
      </c>
      <c r="C2" s="11" t="s">
        <v>129</v>
      </c>
      <c r="D2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E14" sqref="E14"/>
    </sheetView>
  </sheetViews>
  <sheetFormatPr defaultRowHeight="13.5" x14ac:dyDescent="0.15"/>
  <sheetData>
    <row r="1" spans="1:3" x14ac:dyDescent="0.15">
      <c r="A1" t="s">
        <v>13</v>
      </c>
      <c r="B1">
        <v>540</v>
      </c>
      <c r="C1" t="s">
        <v>20</v>
      </c>
    </row>
    <row r="2" spans="1:3" x14ac:dyDescent="0.15">
      <c r="A2" t="s">
        <v>14</v>
      </c>
      <c r="B2">
        <v>50</v>
      </c>
      <c r="C2" t="s">
        <v>21</v>
      </c>
    </row>
    <row r="3" spans="1:3" x14ac:dyDescent="0.15">
      <c r="A3" t="s">
        <v>239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</row>
    <row r="6" spans="1:3" x14ac:dyDescent="0.15">
      <c r="A6" t="s">
        <v>127</v>
      </c>
      <c r="B6">
        <v>5</v>
      </c>
      <c r="C6" t="s">
        <v>31</v>
      </c>
    </row>
    <row r="7" spans="1:3" x14ac:dyDescent="0.15">
      <c r="A7" t="s">
        <v>41</v>
      </c>
      <c r="B7">
        <v>1</v>
      </c>
      <c r="C7" t="s">
        <v>32</v>
      </c>
    </row>
    <row r="8" spans="1:3" x14ac:dyDescent="0.15">
      <c r="A8" t="s">
        <v>17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H12" sqref="H1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D3" sqref="D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16.375" style="7" customWidth="1"/>
    <col min="9" max="13" width="4" style="7" customWidth="1"/>
    <col min="14" max="16384" width="9" style="7"/>
  </cols>
  <sheetData>
    <row r="1" spans="4:8" ht="16.5" x14ac:dyDescent="0.35">
      <c r="D1" s="16" t="s">
        <v>89</v>
      </c>
      <c r="H1" s="16" t="s">
        <v>91</v>
      </c>
    </row>
    <row r="2" spans="4:8" x14ac:dyDescent="0.15">
      <c r="D2" s="17" t="s">
        <v>231</v>
      </c>
      <c r="H2" s="17" t="s">
        <v>135</v>
      </c>
    </row>
    <row r="3" spans="4:8" x14ac:dyDescent="0.15">
      <c r="D3" s="17" t="s">
        <v>90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D7" sqref="D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203</v>
      </c>
      <c r="H2" s="9" t="s">
        <v>134</v>
      </c>
    </row>
    <row r="3" spans="4:8" x14ac:dyDescent="0.15">
      <c r="D3" s="9" t="s">
        <v>88</v>
      </c>
      <c r="H3" s="9" t="s">
        <v>95</v>
      </c>
    </row>
    <row r="4" spans="4:8" x14ac:dyDescent="0.15">
      <c r="D4" s="9" t="s">
        <v>83</v>
      </c>
      <c r="H4" s="9" t="s">
        <v>103</v>
      </c>
    </row>
    <row r="5" spans="4:8" x14ac:dyDescent="0.15">
      <c r="D5" s="9" t="s">
        <v>84</v>
      </c>
      <c r="H5" s="9"/>
    </row>
    <row r="6" spans="4:8" x14ac:dyDescent="0.15">
      <c r="D6" s="9" t="s">
        <v>85</v>
      </c>
      <c r="H6" s="9"/>
    </row>
    <row r="7" spans="4:8" x14ac:dyDescent="0.15">
      <c r="D7" s="9" t="s">
        <v>202</v>
      </c>
      <c r="H7" s="9"/>
    </row>
    <row r="8" spans="4:8" x14ac:dyDescent="0.15">
      <c r="D8" s="9" t="s">
        <v>94</v>
      </c>
      <c r="H8" s="9"/>
    </row>
    <row r="9" spans="4:8" x14ac:dyDescent="0.15">
      <c r="D9" s="9" t="s">
        <v>99</v>
      </c>
      <c r="H9" s="9"/>
    </row>
    <row r="10" spans="4:8" x14ac:dyDescent="0.15">
      <c r="D10" s="9" t="s">
        <v>113</v>
      </c>
      <c r="H10" s="9"/>
    </row>
    <row r="11" spans="4:8" x14ac:dyDescent="0.15">
      <c r="D11" s="9"/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J4" sqref="J4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413D-E4BF-4ED9-975A-8BC571FD5BA1}">
  <sheetPr codeName="Sheet13"/>
  <dimension ref="C1:C24"/>
  <sheetViews>
    <sheetView workbookViewId="0">
      <selection activeCell="C4" sqref="C4"/>
    </sheetView>
  </sheetViews>
  <sheetFormatPr defaultRowHeight="13.5" x14ac:dyDescent="0.15"/>
  <cols>
    <col min="3" max="3" width="43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139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2"/>
  <sheetViews>
    <sheetView workbookViewId="0">
      <selection activeCell="B25" sqref="B25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52</v>
      </c>
      <c r="B1" t="s">
        <v>132</v>
      </c>
      <c r="C1" t="s">
        <v>50</v>
      </c>
    </row>
    <row r="2" spans="1:3" x14ac:dyDescent="0.15">
      <c r="A2">
        <v>1</v>
      </c>
      <c r="B2" t="s">
        <v>199</v>
      </c>
      <c r="C2" t="s">
        <v>55</v>
      </c>
    </row>
    <row r="3" spans="1:3" x14ac:dyDescent="0.15">
      <c r="A3">
        <v>2</v>
      </c>
      <c r="B3" t="s">
        <v>200</v>
      </c>
      <c r="C3" t="s">
        <v>51</v>
      </c>
    </row>
    <row r="4" spans="1:3" x14ac:dyDescent="0.15">
      <c r="A4">
        <v>3</v>
      </c>
      <c r="B4" t="s">
        <v>201</v>
      </c>
      <c r="C4" t="s">
        <v>60</v>
      </c>
    </row>
    <row r="5" spans="1:3" x14ac:dyDescent="0.15">
      <c r="A5">
        <v>4</v>
      </c>
      <c r="B5" t="s">
        <v>61</v>
      </c>
      <c r="C5" t="s">
        <v>62</v>
      </c>
    </row>
    <row r="6" spans="1:3" x14ac:dyDescent="0.15">
      <c r="A6">
        <v>5</v>
      </c>
      <c r="B6" t="s">
        <v>63</v>
      </c>
      <c r="C6" t="s">
        <v>64</v>
      </c>
    </row>
    <row r="7" spans="1:3" x14ac:dyDescent="0.15">
      <c r="A7">
        <v>6</v>
      </c>
      <c r="B7" t="s">
        <v>65</v>
      </c>
      <c r="C7" t="s">
        <v>66</v>
      </c>
    </row>
    <row r="8" spans="1:3" x14ac:dyDescent="0.15">
      <c r="A8">
        <v>7</v>
      </c>
      <c r="B8" t="s">
        <v>67</v>
      </c>
      <c r="C8" t="s">
        <v>68</v>
      </c>
    </row>
    <row r="9" spans="1:3" x14ac:dyDescent="0.15">
      <c r="A9">
        <v>8</v>
      </c>
      <c r="B9" t="s">
        <v>69</v>
      </c>
      <c r="C9" t="s">
        <v>70</v>
      </c>
    </row>
    <row r="10" spans="1:3" x14ac:dyDescent="0.15">
      <c r="A10">
        <v>9</v>
      </c>
      <c r="B10" t="s">
        <v>71</v>
      </c>
      <c r="C10" t="s">
        <v>72</v>
      </c>
    </row>
    <row r="11" spans="1:3" x14ac:dyDescent="0.15">
      <c r="A11">
        <v>10</v>
      </c>
      <c r="B11" t="s">
        <v>73</v>
      </c>
      <c r="C11" t="s">
        <v>74</v>
      </c>
    </row>
    <row r="12" spans="1:3" x14ac:dyDescent="0.15">
      <c r="A12">
        <v>11</v>
      </c>
      <c r="B12" t="s">
        <v>75</v>
      </c>
      <c r="C12" t="s">
        <v>76</v>
      </c>
    </row>
    <row r="13" spans="1:3" x14ac:dyDescent="0.15">
      <c r="A13">
        <v>12</v>
      </c>
      <c r="B13" t="s">
        <v>77</v>
      </c>
      <c r="C13" t="s">
        <v>78</v>
      </c>
    </row>
    <row r="14" spans="1:3" x14ac:dyDescent="0.15">
      <c r="A14">
        <v>13</v>
      </c>
      <c r="B14" t="s">
        <v>79</v>
      </c>
      <c r="C14" t="s">
        <v>80</v>
      </c>
    </row>
    <row r="15" spans="1:3" x14ac:dyDescent="0.15">
      <c r="A15">
        <v>14</v>
      </c>
      <c r="B15" t="s">
        <v>81</v>
      </c>
      <c r="C15" t="s">
        <v>82</v>
      </c>
    </row>
    <row r="16" spans="1:3" x14ac:dyDescent="0.15">
      <c r="A16">
        <v>15</v>
      </c>
      <c r="B16" t="s">
        <v>86</v>
      </c>
      <c r="C16" t="s">
        <v>87</v>
      </c>
    </row>
    <row r="17" spans="1:3" x14ac:dyDescent="0.15">
      <c r="A17">
        <v>16</v>
      </c>
      <c r="B17" t="s">
        <v>97</v>
      </c>
      <c r="C17" t="s">
        <v>98</v>
      </c>
    </row>
    <row r="18" spans="1:3" x14ac:dyDescent="0.15">
      <c r="A18">
        <v>17</v>
      </c>
      <c r="B18" t="s">
        <v>101</v>
      </c>
      <c r="C18" t="s">
        <v>102</v>
      </c>
    </row>
    <row r="19" spans="1:3" x14ac:dyDescent="0.15">
      <c r="A19">
        <v>18</v>
      </c>
      <c r="B19" t="s">
        <v>112</v>
      </c>
      <c r="C19" t="s">
        <v>133</v>
      </c>
    </row>
    <row r="20" spans="1:3" x14ac:dyDescent="0.15">
      <c r="A20">
        <v>19</v>
      </c>
      <c r="B20" t="s">
        <v>124</v>
      </c>
      <c r="C20" t="s">
        <v>125</v>
      </c>
    </row>
    <row r="21" spans="1:3" x14ac:dyDescent="0.15">
      <c r="A21">
        <v>20</v>
      </c>
      <c r="B21" t="s">
        <v>142</v>
      </c>
      <c r="C21" t="s">
        <v>143</v>
      </c>
    </row>
    <row r="22" spans="1:3" x14ac:dyDescent="0.15">
      <c r="A22">
        <v>21</v>
      </c>
      <c r="B22" t="s">
        <v>197</v>
      </c>
      <c r="C22" t="s">
        <v>198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3"/>
  <sheetViews>
    <sheetView topLeftCell="E8" workbookViewId="0">
      <selection activeCell="K28" sqref="K28"/>
    </sheetView>
  </sheetViews>
  <sheetFormatPr defaultColWidth="9" defaultRowHeight="13.5" x14ac:dyDescent="0.15"/>
  <cols>
    <col min="1" max="4" width="0" style="1" hidden="1" customWidth="1"/>
    <col min="5" max="5" width="9" style="1"/>
    <col min="6" max="7" width="25.12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233</v>
      </c>
    </row>
    <row r="11" spans="6:8" ht="16.5" x14ac:dyDescent="0.15">
      <c r="F11" s="5" t="s">
        <v>1</v>
      </c>
      <c r="G11" s="4" t="s">
        <v>234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56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56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59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1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58</v>
      </c>
      <c r="G37" s="4">
        <v>7</v>
      </c>
    </row>
    <row r="38" spans="6:8" x14ac:dyDescent="0.15">
      <c r="F38" s="6"/>
    </row>
    <row r="39" spans="6:8" ht="16.5" x14ac:dyDescent="0.15">
      <c r="F39" s="5" t="s">
        <v>104</v>
      </c>
      <c r="G39" s="4">
        <v>7</v>
      </c>
    </row>
    <row r="40" spans="6:8" x14ac:dyDescent="0.15">
      <c r="F40" s="6"/>
    </row>
    <row r="41" spans="6:8" ht="16.5" x14ac:dyDescent="0.15">
      <c r="F41" s="5" t="s">
        <v>109</v>
      </c>
      <c r="G41" s="4" t="s">
        <v>111</v>
      </c>
      <c r="H41" s="3" t="s">
        <v>0</v>
      </c>
    </row>
    <row r="42" spans="6:8" x14ac:dyDescent="0.15">
      <c r="F42" s="6"/>
    </row>
    <row r="43" spans="6:8" ht="16.5" x14ac:dyDescent="0.15">
      <c r="F43" s="5" t="s">
        <v>110</v>
      </c>
      <c r="G43" s="4" t="s">
        <v>56</v>
      </c>
      <c r="H43" s="3" t="s">
        <v>0</v>
      </c>
    </row>
    <row r="44" spans="6:8" x14ac:dyDescent="0.15">
      <c r="F44" s="6"/>
    </row>
    <row r="45" spans="6:8" ht="16.5" x14ac:dyDescent="0.15">
      <c r="F45" s="5" t="s">
        <v>106</v>
      </c>
      <c r="G45" s="4">
        <v>9</v>
      </c>
    </row>
    <row r="46" spans="6:8" x14ac:dyDescent="0.15">
      <c r="F46" s="6"/>
    </row>
    <row r="47" spans="6:8" ht="16.5" x14ac:dyDescent="0.15">
      <c r="F47" s="5" t="s">
        <v>105</v>
      </c>
      <c r="G47" s="4">
        <v>10</v>
      </c>
    </row>
    <row r="48" spans="6:8" x14ac:dyDescent="0.15">
      <c r="F48" s="6"/>
    </row>
    <row r="49" spans="6:7" ht="16.5" x14ac:dyDescent="0.15">
      <c r="F49" s="5" t="s">
        <v>107</v>
      </c>
      <c r="G49" s="4">
        <v>11</v>
      </c>
    </row>
    <row r="50" spans="6:7" x14ac:dyDescent="0.15">
      <c r="F50" s="6"/>
    </row>
    <row r="51" spans="6:7" ht="16.5" x14ac:dyDescent="0.15">
      <c r="F51" s="5" t="s">
        <v>108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1</v>
      </c>
    </row>
    <row r="58" spans="6:7" x14ac:dyDescent="0.15">
      <c r="F58" s="6"/>
    </row>
    <row r="59" spans="6:7" ht="16.5" x14ac:dyDescent="0.15">
      <c r="F59" s="5" t="s">
        <v>45</v>
      </c>
      <c r="G59" s="4">
        <v>2</v>
      </c>
    </row>
    <row r="60" spans="6:7" x14ac:dyDescent="0.15">
      <c r="F60" s="6"/>
    </row>
    <row r="61" spans="6:7" ht="16.5" x14ac:dyDescent="0.15">
      <c r="F61" s="5" t="s">
        <v>54</v>
      </c>
      <c r="G61" s="4">
        <v>17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53</v>
      </c>
      <c r="G67" s="4">
        <v>4</v>
      </c>
    </row>
    <row r="69" spans="6:7" ht="16.5" x14ac:dyDescent="0.15">
      <c r="F69" s="5" t="s">
        <v>100</v>
      </c>
      <c r="G69" s="4" t="s">
        <v>25</v>
      </c>
    </row>
    <row r="71" spans="6:7" ht="16.5" x14ac:dyDescent="0.15">
      <c r="F71" s="5" t="s">
        <v>136</v>
      </c>
      <c r="G71" s="4" t="s">
        <v>96</v>
      </c>
    </row>
    <row r="73" spans="6:7" ht="16.5" x14ac:dyDescent="0.15">
      <c r="F73" s="5" t="s">
        <v>137</v>
      </c>
      <c r="G73" s="4" t="s">
        <v>138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B4EB1-9886-4002-806B-34235FE33D96}">
  <sheetPr codeName="Sheet14"/>
  <dimension ref="C1:J34"/>
  <sheetViews>
    <sheetView topLeftCell="E1" workbookViewId="0">
      <selection activeCell="J34" sqref="J2:J34"/>
    </sheetView>
  </sheetViews>
  <sheetFormatPr defaultRowHeight="13.5" x14ac:dyDescent="0.15"/>
  <cols>
    <col min="4" max="7" width="37.75" customWidth="1"/>
  </cols>
  <sheetData>
    <row r="1" spans="3:10" x14ac:dyDescent="0.15">
      <c r="C1" t="s">
        <v>169</v>
      </c>
      <c r="D1" t="s">
        <v>170</v>
      </c>
      <c r="H1" t="s">
        <v>171</v>
      </c>
    </row>
    <row r="2" spans="3:10" x14ac:dyDescent="0.15">
      <c r="C2">
        <v>1</v>
      </c>
      <c r="D2" t="s">
        <v>172</v>
      </c>
      <c r="E2" t="str">
        <f>CONCATENATE(D2,",")</f>
        <v>ACAKfilename,</v>
      </c>
      <c r="F2" t="s">
        <v>177</v>
      </c>
      <c r="G2" t="str">
        <f>E2</f>
        <v>ACAKfilename,</v>
      </c>
      <c r="H2" t="s">
        <v>140</v>
      </c>
      <c r="J2" t="str">
        <f>CONCATENATE("public ",D2," as string")</f>
        <v>public ACAKfilename as string</v>
      </c>
    </row>
    <row r="3" spans="3:10" x14ac:dyDescent="0.15">
      <c r="C3">
        <v>2</v>
      </c>
      <c r="D3" t="s">
        <v>173</v>
      </c>
      <c r="E3" t="str">
        <f t="shared" ref="E3:E34" si="0">CONCATENATE(D3,",")</f>
        <v>ExcelPath,</v>
      </c>
      <c r="F3" t="s">
        <v>178</v>
      </c>
      <c r="G3" t="str">
        <f>G2&amp;E3</f>
        <v>ACAKfilename,ExcelPath,</v>
      </c>
      <c r="H3" t="s">
        <v>141</v>
      </c>
      <c r="J3" t="str">
        <f t="shared" ref="J3:J18" si="1">CONCATENATE("public ",D3," as string")</f>
        <v>public ExcelPath as string</v>
      </c>
    </row>
    <row r="4" spans="3:10" x14ac:dyDescent="0.15">
      <c r="C4">
        <v>3</v>
      </c>
      <c r="D4" t="s">
        <v>218</v>
      </c>
      <c r="E4" t="str">
        <f t="shared" si="0"/>
        <v>OpenEngine,</v>
      </c>
      <c r="F4" t="s">
        <v>179</v>
      </c>
      <c r="G4" t="str">
        <f t="shared" ref="G4:G34" si="2">G3&amp;E4</f>
        <v>ACAKfilename,ExcelPath,OpenEngine,</v>
      </c>
      <c r="H4" t="s">
        <v>144</v>
      </c>
      <c r="J4" t="str">
        <f t="shared" si="1"/>
        <v>public OpenEngine as string</v>
      </c>
    </row>
    <row r="5" spans="3:10" x14ac:dyDescent="0.15">
      <c r="C5">
        <v>4</v>
      </c>
      <c r="D5" t="s">
        <v>219</v>
      </c>
      <c r="E5" t="str">
        <f t="shared" si="0"/>
        <v>Actions,</v>
      </c>
      <c r="F5" t="s">
        <v>145</v>
      </c>
      <c r="G5" t="str">
        <f t="shared" si="2"/>
        <v>ACAKfilename,ExcelPath,OpenEngine,Actions,</v>
      </c>
      <c r="H5" t="s">
        <v>144</v>
      </c>
      <c r="J5" t="str">
        <f t="shared" si="1"/>
        <v>public Actions as string</v>
      </c>
    </row>
    <row r="6" spans="3:10" x14ac:dyDescent="0.15">
      <c r="C6">
        <v>5</v>
      </c>
      <c r="D6" t="s">
        <v>7</v>
      </c>
      <c r="E6" t="str">
        <f t="shared" si="0"/>
        <v>ActionsInWhichVBAModule,</v>
      </c>
      <c r="F6" t="s">
        <v>214</v>
      </c>
      <c r="G6" t="str">
        <f t="shared" si="2"/>
        <v>ACAKfilename,ExcelPath,OpenEngine,Actions,ActionsInWhichVBAModule,</v>
      </c>
      <c r="H6" t="s">
        <v>146</v>
      </c>
      <c r="J6" t="str">
        <f t="shared" si="1"/>
        <v>public ActionsInWhichVBAModule as string</v>
      </c>
    </row>
    <row r="7" spans="3:10" x14ac:dyDescent="0.15">
      <c r="C7">
        <v>6</v>
      </c>
      <c r="D7" t="s">
        <v>229</v>
      </c>
      <c r="E7" t="str">
        <f t="shared" si="0"/>
        <v>IFInWhichVBAModule,</v>
      </c>
      <c r="F7" t="s">
        <v>147</v>
      </c>
      <c r="G7" t="str">
        <f t="shared" si="2"/>
        <v>ACAKfilename,ExcelPath,OpenEngine,Actions,ActionsInWhichVBAModule,IFInWhichVBAModule,</v>
      </c>
      <c r="H7" t="s">
        <v>148</v>
      </c>
      <c r="J7" t="str">
        <f t="shared" si="1"/>
        <v>public IFInWhichVBAModule as string</v>
      </c>
    </row>
    <row r="8" spans="3:10" x14ac:dyDescent="0.15">
      <c r="C8">
        <v>9</v>
      </c>
      <c r="D8" t="s">
        <v>206</v>
      </c>
      <c r="E8" t="str">
        <f t="shared" si="0"/>
        <v>ScreenSheet,</v>
      </c>
      <c r="F8" t="s">
        <v>150</v>
      </c>
      <c r="G8" t="str">
        <f t="shared" si="2"/>
        <v>ACAKfilename,ExcelPath,OpenEngine,Actions,ActionsInWhichVBAModule,IFInWhichVBAModule,ScreenSheet,</v>
      </c>
      <c r="H8" t="s">
        <v>151</v>
      </c>
      <c r="J8" t="str">
        <f t="shared" si="1"/>
        <v>public ScreenSheet as string</v>
      </c>
    </row>
    <row r="9" spans="3:10" x14ac:dyDescent="0.15">
      <c r="C9">
        <v>10</v>
      </c>
      <c r="D9" t="s">
        <v>230</v>
      </c>
      <c r="E9" t="str">
        <f t="shared" si="0"/>
        <v>ShowStatusInWhichCellInScreenSheet,</v>
      </c>
      <c r="F9" t="s">
        <v>152</v>
      </c>
      <c r="G9" t="str">
        <f t="shared" si="2"/>
        <v>ACAKfilename,ExcelPath,OpenEngine,Actions,ActionsInWhichVBAModule,IFInWhichVBAModule,ScreenSheet,ShowStatusInWhichCellInScreenSheet,</v>
      </c>
      <c r="H9" t="s">
        <v>153</v>
      </c>
      <c r="J9" t="str">
        <f t="shared" si="1"/>
        <v>public ShowStatusInWhichCellInScreenSheet as string</v>
      </c>
    </row>
    <row r="10" spans="3:10" x14ac:dyDescent="0.15">
      <c r="C10">
        <v>11</v>
      </c>
      <c r="D10" t="s">
        <v>213</v>
      </c>
      <c r="E10" t="str">
        <f t="shared" si="0"/>
        <v>EngineSetupSheet,</v>
      </c>
      <c r="F10" t="s">
        <v>154</v>
      </c>
      <c r="G10" t="str">
        <f t="shared" si="2"/>
        <v>ACAKfilename,ExcelPath,OpenEngine,Actions,ActionsInWhichVBAModule,IFInWhichVBAModule,ScreenSheet,ShowStatusInWhichCellInScreenSheet,EngineSetupSheet,</v>
      </c>
      <c r="H10" t="s">
        <v>155</v>
      </c>
      <c r="J10" t="str">
        <f t="shared" si="1"/>
        <v>public EngineSetupSheet as string</v>
      </c>
    </row>
    <row r="11" spans="3:10" x14ac:dyDescent="0.15">
      <c r="C11">
        <v>12</v>
      </c>
      <c r="D11" t="s">
        <v>156</v>
      </c>
      <c r="E11" t="str">
        <f t="shared" si="0"/>
        <v>ACAKSetupSheet,</v>
      </c>
      <c r="F11" t="s">
        <v>156</v>
      </c>
      <c r="G11" t="str">
        <f t="shared" si="2"/>
        <v>ACAKfilename,ExcelPath,OpenEngine,Actions,ActionsInWhichVBAModule,IFInWhichVBAModule,ScreenSheet,ShowStatusInWhichCellInScreenSheet,EngineSetupSheet,ACAKSetupSheet,</v>
      </c>
      <c r="H11" t="s">
        <v>157</v>
      </c>
      <c r="J11" t="str">
        <f t="shared" si="1"/>
        <v>public ACAKSetupSheet as string</v>
      </c>
    </row>
    <row r="12" spans="3:10" x14ac:dyDescent="0.15">
      <c r="C12">
        <v>13</v>
      </c>
      <c r="D12" t="s">
        <v>228</v>
      </c>
      <c r="E12" t="str">
        <f t="shared" si="0"/>
        <v>IFSheet,</v>
      </c>
      <c r="F12" t="s">
        <v>158</v>
      </c>
      <c r="G12" t="str">
        <f t="shared" si="2"/>
        <v>ACAKfilename,ExcelPath,OpenEngine,Actions,ActionsInWhichVBAModule,IFInWhichVBAModule,ScreenSheet,ShowStatusInWhichCellInScreenSheet,EngineSetupSheet,ACAKSetupSheet,IFSheet,</v>
      </c>
      <c r="H12" t="s">
        <v>159</v>
      </c>
      <c r="J12" t="str">
        <f t="shared" si="1"/>
        <v>public IFSheet as string</v>
      </c>
    </row>
    <row r="13" spans="3:10" x14ac:dyDescent="0.15">
      <c r="C13">
        <v>14</v>
      </c>
      <c r="D13" t="s">
        <v>160</v>
      </c>
      <c r="E13" t="str">
        <f t="shared" si="0"/>
        <v>CountSheet,</v>
      </c>
      <c r="F13" t="s">
        <v>204</v>
      </c>
      <c r="G13" t="str">
        <f t="shared" si="2"/>
        <v>ACAKfilename,ExcelPath,OpenEngine,Actions,ActionsInWhichVBAModule,IFInWhichVBAModule,ScreenSheet,ShowStatusInWhichCellInScreenSheet,EngineSetupSheet,ACAKSetupSheet,IFSheet,CountSheet,</v>
      </c>
      <c r="H13" t="s">
        <v>161</v>
      </c>
      <c r="J13" t="str">
        <f t="shared" si="1"/>
        <v>public CountSheet as string</v>
      </c>
    </row>
    <row r="14" spans="3:10" x14ac:dyDescent="0.15">
      <c r="C14">
        <v>17</v>
      </c>
      <c r="D14" t="s">
        <v>226</v>
      </c>
      <c r="E14" t="str">
        <f t="shared" si="0"/>
        <v>M00JudgeTOTALMAX,</v>
      </c>
      <c r="F14" t="s">
        <v>181</v>
      </c>
      <c r="G14" t="str">
        <f t="shared" si="2"/>
        <v>ACAKfilename,ExcelPath,OpenEngine,Actions,ActionsInWhichVBAModule,IFInWhichVBAModule,ScreenSheet,ShowStatusInWhichCellInScreenSheet,EngineSetupSheet,ACAKSetupSheet,IFSheet,CountSheet,M00JudgeTOTALMAX,</v>
      </c>
      <c r="H14" t="s">
        <v>164</v>
      </c>
      <c r="J14" t="str">
        <f t="shared" si="1"/>
        <v>public M00JudgeTOTALMAX as string</v>
      </c>
    </row>
    <row r="15" spans="3:10" x14ac:dyDescent="0.15">
      <c r="C15">
        <v>18</v>
      </c>
      <c r="D15" t="s">
        <v>227</v>
      </c>
      <c r="E15" t="str">
        <f t="shared" si="0"/>
        <v>M00JudgeONEMAX,</v>
      </c>
      <c r="F15" t="s">
        <v>182</v>
      </c>
      <c r="G15" t="str">
        <f t="shared" si="2"/>
        <v>ACAKfilename,ExcelPath,OpenEngine,Actions,ActionsInWhichVBAModule,IFInWhichVBAModule,ScreenSheet,ShowStatusInWhichCellInScreenSheet,EngineSetupSheet,ACAKSetupSheet,IFSheet,CountSheet,M00JudgeTOTALMAX,M00JudgeONEMAX,</v>
      </c>
      <c r="H15" t="s">
        <v>144</v>
      </c>
      <c r="J15" t="str">
        <f t="shared" si="1"/>
        <v>public M00JudgeONEMAX as string</v>
      </c>
    </row>
    <row r="16" spans="3:10" x14ac:dyDescent="0.15">
      <c r="C16">
        <v>31</v>
      </c>
      <c r="D16" t="s">
        <v>205</v>
      </c>
      <c r="E16" t="str">
        <f t="shared" si="0"/>
        <v>LogSheet,</v>
      </c>
      <c r="F16" t="s">
        <v>165</v>
      </c>
      <c r="G16" t="str">
        <f t="shared" si="2"/>
        <v>ACAKfilename,ExcelPath,OpenEngine,Actions,ActionsInWhichVBAModule,IFInWhichVBAModule,ScreenSheet,ShowStatusInWhichCellInScreenSheet,EngineSetupSheet,ACAKSetupSheet,IFSheet,CountSheet,M00JudgeTOTALMAX,M00JudgeONEMAX,LogSheet,</v>
      </c>
      <c r="H16" t="s">
        <v>166</v>
      </c>
      <c r="J16" t="str">
        <f t="shared" si="1"/>
        <v>public LogSheet as string</v>
      </c>
    </row>
    <row r="17" spans="3:10" x14ac:dyDescent="0.15">
      <c r="C17">
        <v>32</v>
      </c>
      <c r="D17" t="s">
        <v>207</v>
      </c>
      <c r="E17" t="str">
        <f t="shared" si="0"/>
        <v>FolderForlog,</v>
      </c>
      <c r="F17" t="s">
        <v>195</v>
      </c>
      <c r="G17" t="str">
        <f t="shared" si="2"/>
        <v>ACAKfilename,ExcelPath,OpenEngine,Actions,ActionsInWhichVBAModule,IFInWhichVBAModule,ScreenSheet,ShowStatusInWhichCellInScreenSheet,EngineSetupSheet,ACAKSetupSheet,IFSheet,CountSheet,M00JudgeTOTALMAX,M00JudgeONEMAX,LogSheet,FolderForlog,</v>
      </c>
      <c r="H17" t="s">
        <v>167</v>
      </c>
      <c r="J17" t="str">
        <f t="shared" si="1"/>
        <v>public FolderForlog as string</v>
      </c>
    </row>
    <row r="18" spans="3:10" x14ac:dyDescent="0.15">
      <c r="C18">
        <v>33</v>
      </c>
      <c r="D18" t="s">
        <v>176</v>
      </c>
      <c r="E18" t="str">
        <f t="shared" si="0"/>
        <v>FolderForCodes,</v>
      </c>
      <c r="F18" t="s">
        <v>196</v>
      </c>
      <c r="G18" t="str">
        <f t="shared" si="2"/>
        <v>ACAKfilename,ExcelPath,OpenEngine,Actions,ActionsInWhichVBAModule,IFInWhichVBAModule,ScreenSheet,ShowStatusInWhichCellInScreenSheet,EngineSetupSheet,ACAKSetupSheet,IFSheet,CountSheet,M00JudgeTOTALMAX,M00JudgeONEMAX,LogSheet,FolderForlog,FolderForCodes,</v>
      </c>
      <c r="H18" t="s">
        <v>168</v>
      </c>
      <c r="J18" t="str">
        <f t="shared" si="1"/>
        <v>public FolderForCodes as string</v>
      </c>
    </row>
    <row r="19" spans="3:10" x14ac:dyDescent="0.15">
      <c r="C19">
        <v>19</v>
      </c>
      <c r="D19" t="s">
        <v>224</v>
      </c>
      <c r="E19" t="str">
        <f t="shared" si="0"/>
        <v>M00ROWTOTALMAX,</v>
      </c>
      <c r="F19" t="s">
        <v>183</v>
      </c>
      <c r="G19" t="str">
        <f>E19</f>
        <v>M00ROWTOTALMAX,</v>
      </c>
      <c r="H19">
        <v>9</v>
      </c>
      <c r="J19" t="str">
        <f>CONCATENATE("public ",D19," as double")</f>
        <v>public M00ROWTOTALMAX as double</v>
      </c>
    </row>
    <row r="20" spans="3:10" x14ac:dyDescent="0.15">
      <c r="C20">
        <v>20</v>
      </c>
      <c r="D20" t="s">
        <v>210</v>
      </c>
      <c r="E20" t="str">
        <f t="shared" si="0"/>
        <v>M00ROWTOTAL,</v>
      </c>
      <c r="F20" t="s">
        <v>184</v>
      </c>
      <c r="G20" t="str">
        <f t="shared" si="2"/>
        <v>M00ROWTOTALMAX,M00ROWTOTAL,</v>
      </c>
      <c r="H20">
        <v>10</v>
      </c>
      <c r="J20" t="str">
        <f t="shared" ref="J20:J34" si="3">CONCATENATE("public ",D20," as double")</f>
        <v>public M00ROWTOTAL as double</v>
      </c>
    </row>
    <row r="21" spans="3:10" x14ac:dyDescent="0.15">
      <c r="C21">
        <v>21</v>
      </c>
      <c r="D21" t="s">
        <v>225</v>
      </c>
      <c r="E21" t="str">
        <f t="shared" si="0"/>
        <v>M00ROWONEMAX,</v>
      </c>
      <c r="F21" t="s">
        <v>185</v>
      </c>
      <c r="G21" t="str">
        <f t="shared" si="2"/>
        <v>M00ROWTOTALMAX,M00ROWTOTAL,M00ROWONEMAX,</v>
      </c>
      <c r="H21">
        <v>11</v>
      </c>
      <c r="J21" t="str">
        <f t="shared" si="3"/>
        <v>public M00ROWONEMAX as double</v>
      </c>
    </row>
    <row r="22" spans="3:10" x14ac:dyDescent="0.15">
      <c r="C22">
        <v>22</v>
      </c>
      <c r="D22" t="s">
        <v>211</v>
      </c>
      <c r="E22" t="str">
        <f t="shared" si="0"/>
        <v>M00ROWONE,</v>
      </c>
      <c r="F22" t="s">
        <v>186</v>
      </c>
      <c r="G22" t="str">
        <f t="shared" si="2"/>
        <v>M00ROWTOTALMAX,M00ROWTOTAL,M00ROWONEMAX,M00ROWONE,</v>
      </c>
      <c r="H22">
        <v>12</v>
      </c>
      <c r="J22" t="str">
        <f t="shared" si="3"/>
        <v>public M00ROWONE as double</v>
      </c>
    </row>
    <row r="23" spans="3:10" x14ac:dyDescent="0.15">
      <c r="C23">
        <v>23</v>
      </c>
      <c r="D23" t="s">
        <v>222</v>
      </c>
      <c r="E23" t="str">
        <f t="shared" si="0"/>
        <v>M01RowStartNumber,</v>
      </c>
      <c r="F23" t="s">
        <v>187</v>
      </c>
      <c r="G23" t="str">
        <f t="shared" si="2"/>
        <v>M00ROWTOTALMAX,M00ROWTOTAL,M00ROWONEMAX,M00ROWONE,M01RowStartNumber,</v>
      </c>
      <c r="H23">
        <v>15</v>
      </c>
      <c r="J23" t="str">
        <f t="shared" si="3"/>
        <v>public M01RowStartNumber as double</v>
      </c>
    </row>
    <row r="24" spans="3:10" x14ac:dyDescent="0.15">
      <c r="C24">
        <v>24</v>
      </c>
      <c r="D24" t="s">
        <v>209</v>
      </c>
      <c r="E24" t="str">
        <f t="shared" si="0"/>
        <v>M01ColStartNumber,</v>
      </c>
      <c r="F24" t="s">
        <v>188</v>
      </c>
      <c r="G24" t="str">
        <f t="shared" si="2"/>
        <v>M00ROWTOTALMAX,M00ROWTOTAL,M00ROWONEMAX,M00ROWONE,M01RowStartNumber,M01ColStartNumber,</v>
      </c>
      <c r="H24">
        <v>9</v>
      </c>
      <c r="J24" t="str">
        <f t="shared" si="3"/>
        <v>public M01ColStartNumber as double</v>
      </c>
    </row>
    <row r="25" spans="3:10" x14ac:dyDescent="0.15">
      <c r="C25">
        <v>25</v>
      </c>
      <c r="D25" t="s">
        <v>221</v>
      </c>
      <c r="E25" t="str">
        <f t="shared" si="0"/>
        <v>M01Rows,</v>
      </c>
      <c r="F25" t="s">
        <v>189</v>
      </c>
      <c r="G25" t="str">
        <f t="shared" si="2"/>
        <v>M00ROWTOTALMAX,M00ROWTOTAL,M00ROWONEMAX,M00ROWONE,M01RowStartNumber,M01ColStartNumber,M01Rows,</v>
      </c>
      <c r="H25">
        <v>1</v>
      </c>
      <c r="J25" t="str">
        <f t="shared" si="3"/>
        <v>public M01Rows as double</v>
      </c>
    </row>
    <row r="26" spans="3:10" x14ac:dyDescent="0.15">
      <c r="C26">
        <v>26</v>
      </c>
      <c r="D26" t="s">
        <v>208</v>
      </c>
      <c r="E26" t="str">
        <f t="shared" si="0"/>
        <v>M01Cols,</v>
      </c>
      <c r="F26" t="s">
        <v>190</v>
      </c>
      <c r="G26" t="str">
        <f t="shared" si="2"/>
        <v>M00ROWTOTALMAX,M00ROWTOTAL,M00ROWONEMAX,M00ROWONE,M01RowStartNumber,M01ColStartNumber,M01Rows,M01Cols,</v>
      </c>
      <c r="H26">
        <v>2</v>
      </c>
      <c r="J26" t="str">
        <f t="shared" si="3"/>
        <v>public M01Cols as double</v>
      </c>
    </row>
    <row r="27" spans="3:10" x14ac:dyDescent="0.15">
      <c r="C27">
        <v>27</v>
      </c>
      <c r="D27" t="s">
        <v>215</v>
      </c>
      <c r="E27" t="str">
        <f t="shared" si="0"/>
        <v>M02RowStartNumber,</v>
      </c>
      <c r="F27" t="s">
        <v>191</v>
      </c>
      <c r="G27" t="str">
        <f t="shared" si="2"/>
        <v>M00ROWTOTALMAX,M00ROWTOTAL,M00ROWONEMAX,M00ROWONE,M01RowStartNumber,M01ColStartNumber,M01Rows,M01Cols,M02RowStartNumber,</v>
      </c>
      <c r="H27">
        <v>17</v>
      </c>
      <c r="J27" t="str">
        <f t="shared" si="3"/>
        <v>public M02RowStartNumber as double</v>
      </c>
    </row>
    <row r="28" spans="3:10" x14ac:dyDescent="0.15">
      <c r="C28">
        <v>28</v>
      </c>
      <c r="D28" t="s">
        <v>174</v>
      </c>
      <c r="E28" t="str">
        <f t="shared" si="0"/>
        <v>M02ColStartNumber,</v>
      </c>
      <c r="F28" t="s">
        <v>192</v>
      </c>
      <c r="G28" t="str">
        <f t="shared" si="2"/>
        <v>M00ROWTOTALMAX,M00ROWTOTAL,M00ROWONEMAX,M00ROWONE,M01RowStartNumber,M01ColStartNumber,M01Rows,M01Cols,M02RowStartNumber,M02ColStartNumber,</v>
      </c>
      <c r="H28">
        <v>9</v>
      </c>
      <c r="J28" t="str">
        <f t="shared" si="3"/>
        <v>public M02ColStartNumber as double</v>
      </c>
    </row>
    <row r="29" spans="3:10" x14ac:dyDescent="0.15">
      <c r="C29">
        <v>29</v>
      </c>
      <c r="D29" t="s">
        <v>216</v>
      </c>
      <c r="E29" t="str">
        <f t="shared" si="0"/>
        <v>M02Rows,</v>
      </c>
      <c r="F29" t="s">
        <v>193</v>
      </c>
      <c r="G29" t="str">
        <f t="shared" si="2"/>
        <v>M00ROWTOTALMAX,M00ROWTOTAL,M00ROWONEMAX,M00ROWONE,M01RowStartNumber,M01ColStartNumber,M01Rows,M01Cols,M02RowStartNumber,M02ColStartNumber,M02Rows,</v>
      </c>
      <c r="H29">
        <v>8</v>
      </c>
      <c r="J29" t="str">
        <f t="shared" si="3"/>
        <v>public M02Rows as double</v>
      </c>
    </row>
    <row r="30" spans="3:10" x14ac:dyDescent="0.15">
      <c r="C30">
        <v>30</v>
      </c>
      <c r="D30" t="s">
        <v>175</v>
      </c>
      <c r="E30" t="str">
        <f t="shared" si="0"/>
        <v>M02Cols,</v>
      </c>
      <c r="F30" t="s">
        <v>194</v>
      </c>
      <c r="G30" t="str">
        <f t="shared" si="2"/>
        <v>M00ROWTOTALMAX,M00ROWTOTAL,M00ROWONEMAX,M00ROWONE,M01RowStartNumber,M01ColStartNumber,M01Rows,M01Cols,M02RowStartNumber,M02ColStartNumber,M02Rows,M02Cols,</v>
      </c>
      <c r="H30">
        <v>4</v>
      </c>
      <c r="J30" t="str">
        <f t="shared" si="3"/>
        <v>public M02Cols as double</v>
      </c>
    </row>
    <row r="31" spans="3:10" x14ac:dyDescent="0.15">
      <c r="C31">
        <v>7</v>
      </c>
      <c r="D31" t="s">
        <v>217</v>
      </c>
      <c r="E31" t="str">
        <f t="shared" si="0"/>
        <v>EngineLoop,</v>
      </c>
      <c r="F31" t="s">
        <v>180</v>
      </c>
      <c r="G31" t="str">
        <f t="shared" si="2"/>
        <v>M00ROWTOTALMAX,M00ROWTOTAL,M00ROWONEMAX,M00ROWONE,M01RowStartNumber,M01ColStartNumber,M01Rows,M01Cols,M02RowStartNumber,M02ColStartNumber,M02Rows,M02Cols,EngineLoop,</v>
      </c>
      <c r="H31">
        <v>1000</v>
      </c>
      <c r="J31" t="str">
        <f t="shared" si="3"/>
        <v>public EngineLoop as double</v>
      </c>
    </row>
    <row r="32" spans="3:10" x14ac:dyDescent="0.15">
      <c r="C32">
        <v>8</v>
      </c>
      <c r="D32" t="s">
        <v>223</v>
      </c>
      <c r="E32" t="str">
        <f t="shared" si="0"/>
        <v>EngineColumnSelectMethod,</v>
      </c>
      <c r="F32" t="s">
        <v>149</v>
      </c>
      <c r="G32" t="str">
        <f t="shared" si="2"/>
        <v>M00ROWTOTALMAX,M00ROWTOTAL,M00ROWONEMAX,M00ROWONE,M01RowStartNumber,M01ColStartNumber,M01Rows,M01Cols,M02RowStartNumber,M02ColStartNumber,M02Rows,M02Cols,EngineLoop,EngineColumnSelectMethod,</v>
      </c>
      <c r="H32">
        <v>1</v>
      </c>
      <c r="J32" t="str">
        <f t="shared" si="3"/>
        <v>public EngineColumnSelectMethod as double</v>
      </c>
    </row>
    <row r="33" spans="3:10" x14ac:dyDescent="0.15">
      <c r="C33">
        <v>15</v>
      </c>
      <c r="D33" t="s">
        <v>220</v>
      </c>
      <c r="E33" t="str">
        <f t="shared" si="0"/>
        <v>IFdisplayinScreenCol,</v>
      </c>
      <c r="F33" t="s">
        <v>162</v>
      </c>
      <c r="G33" t="str">
        <f t="shared" si="2"/>
        <v>M00ROWTOTALMAX,M00ROWTOTAL,M00ROWONEMAX,M00ROWONE,M01RowStartNumber,M01ColStartNumber,M01Rows,M01Cols,M02RowStartNumber,M02ColStartNumber,M02Rows,M02Cols,EngineLoop,EngineColumnSelectMethod,IFdisplayinScreenCol,</v>
      </c>
      <c r="H33">
        <v>7</v>
      </c>
      <c r="J33" t="str">
        <f t="shared" si="3"/>
        <v>public IFdisplayinScreenCol as double</v>
      </c>
    </row>
    <row r="34" spans="3:10" x14ac:dyDescent="0.15">
      <c r="C34">
        <v>16</v>
      </c>
      <c r="D34" t="s">
        <v>212</v>
      </c>
      <c r="E34" t="str">
        <f t="shared" si="0"/>
        <v>VinScreenRow,</v>
      </c>
      <c r="F34" t="s">
        <v>163</v>
      </c>
      <c r="G34" t="str">
        <f t="shared" si="2"/>
        <v>M00ROWTOTALMAX,M00ROWTOTAL,M00ROWONEMAX,M00ROWONE,M01RowStartNumber,M01ColStartNumber,M01Rows,M01Cols,M02RowStartNumber,M02ColStartNumber,M02Rows,M02Cols,EngineLoop,EngineColumnSelectMethod,IFdisplayinScreenCol,VinScreenRow,</v>
      </c>
      <c r="H34">
        <v>7</v>
      </c>
      <c r="J34" t="str">
        <f t="shared" si="3"/>
        <v>public VinScreenRow as double</v>
      </c>
    </row>
  </sheetData>
  <autoFilter ref="C1:H30" xr:uid="{D77E5BB9-61B2-402E-9E8A-6E9517CCCCD0}"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93</v>
      </c>
      <c r="D6" s="4" t="s">
        <v>131</v>
      </c>
      <c r="E6" s="19" t="s">
        <v>92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4"/>
  <sheetViews>
    <sheetView workbookViewId="0">
      <selection activeCell="C5" sqref="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114</v>
      </c>
      <c r="C1" t="s">
        <v>115</v>
      </c>
    </row>
    <row r="2" spans="2:3" x14ac:dyDescent="0.15">
      <c r="B2" s="20"/>
      <c r="C2" t="s">
        <v>235</v>
      </c>
    </row>
    <row r="3" spans="2:3" x14ac:dyDescent="0.15">
      <c r="B3" s="20"/>
      <c r="C3" t="s">
        <v>237</v>
      </c>
    </row>
    <row r="4" spans="2:3" x14ac:dyDescent="0.15">
      <c r="C4" t="s">
        <v>238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3"/>
  <sheetViews>
    <sheetView workbookViewId="0">
      <selection activeCell="G11" sqref="G1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3" ht="32.25" customHeight="1" x14ac:dyDescent="0.15"/>
    <row r="4" spans="2:3" x14ac:dyDescent="0.15">
      <c r="B4" s="22" t="s">
        <v>116</v>
      </c>
    </row>
    <row r="5" spans="2:3" x14ac:dyDescent="0.15">
      <c r="B5" s="21" t="s">
        <v>117</v>
      </c>
    </row>
    <row r="7" spans="2:3" x14ac:dyDescent="0.15">
      <c r="B7" s="22" t="s">
        <v>118</v>
      </c>
    </row>
    <row r="8" spans="2:3" x14ac:dyDescent="0.15">
      <c r="B8" s="21" t="s">
        <v>119</v>
      </c>
    </row>
    <row r="9" spans="2:3" x14ac:dyDescent="0.15">
      <c r="B9" s="21" t="s">
        <v>120</v>
      </c>
    </row>
    <row r="10" spans="2:3" x14ac:dyDescent="0.15">
      <c r="B10" s="21" t="s">
        <v>121</v>
      </c>
    </row>
    <row r="12" spans="2:3" x14ac:dyDescent="0.15">
      <c r="B12" s="22" t="s">
        <v>122</v>
      </c>
    </row>
    <row r="13" spans="2:3" x14ac:dyDescent="0.15">
      <c r="B13" s="21" t="s">
        <v>123</v>
      </c>
      <c r="C13" s="21" t="s">
        <v>236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core_debug</vt:lpstr>
      <vt:lpstr>core_actions</vt:lpstr>
      <vt:lpstr>core_setup</vt:lpstr>
      <vt:lpstr>草稿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2018-12-25T09:47:28Z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