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j\"/>
    </mc:Choice>
  </mc:AlternateContent>
  <xr:revisionPtr revIDLastSave="0" documentId="13_ncr:1_{F4604138-32B0-4ED7-8DA9-3AB38DA32349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homepage_setup" sheetId="30" state="hidden" r:id="rId8"/>
    <sheet name="core_plugin" sheetId="17" r:id="rId9"/>
    <sheet name="PI2_uc_testsheet1" sheetId="34" state="hidden" r:id="rId10"/>
    <sheet name="PI2_uc_setup" sheetId="35" state="hidden" r:id="rId11"/>
    <sheet name="PI2_uc_about" sheetId="36" state="hidden" r:id="rId12"/>
    <sheet name="core_debug" sheetId="15" state="hidden" r:id="rId13"/>
    <sheet name="core_actions" sheetId="11" state="hidden" r:id="rId14"/>
    <sheet name="core_setup" sheetId="4" state="hidden" r:id="rId15"/>
    <sheet name="core_display_setup" sheetId="12" state="hidden" r:id="rId16"/>
    <sheet name="core_changelog" sheetId="13" state="hidden" r:id="rId17"/>
    <sheet name="core_about" sheetId="14" state="hidden" r:id="rId18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2" i="30"/>
  <c r="C13" i="30"/>
  <c r="C14" i="30"/>
  <c r="C15" i="30" s="1"/>
  <c r="C16" i="30" s="1"/>
  <c r="C17" i="30" s="1"/>
  <c r="C11" i="30"/>
  <c r="C4" i="30"/>
  <c r="C5" i="30" s="1"/>
  <c r="C6" i="30" s="1"/>
  <c r="C7" i="30" s="1"/>
  <c r="C8" i="30" s="1"/>
  <c r="C9" i="30" s="1"/>
  <c r="C3" i="30"/>
  <c r="F10" i="3" l="1"/>
  <c r="F12" i="3"/>
  <c r="F9" i="3"/>
</calcChain>
</file>

<file path=xl/sharedStrings.xml><?xml version="1.0" encoding="utf-8"?>
<sst xmlns="http://schemas.openxmlformats.org/spreadsheetml/2006/main" count="222" uniqueCount="197">
  <si>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</si>
  <si>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</si>
  <si>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</si>
  <si>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</si>
  <si>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</si>
  <si>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</si>
  <si>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</si>
  <si>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</si>
  <si>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</si>
  <si>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</si>
  <si>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</si>
  <si>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</si>
  <si>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</si>
  <si>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</si>
  <si>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</si>
  <si>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</si>
  <si>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</si>
  <si>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</si>
  <si>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</si>
  <si>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</si>
  <si>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</si>
  <si>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</si>
  <si>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</si>
  <si>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</si>
  <si>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</si>
  <si>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</si>
  <si>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</si>
  <si>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</si>
  <si>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</si>
  <si>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</si>
  <si>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</si>
  <si>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</si>
  <si>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</si>
  <si>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</si>
  <si>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</si>
  <si>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</si>
  <si>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</si>
  <si>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</si>
  <si>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</si>
  <si>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</si>
  <si>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</si>
  <si>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</si>
  <si>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</si>
  <si>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</si>
  <si>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</si>
  <si>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</si>
  <si>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</si>
  <si>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</si>
  <si>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</si>
  <si>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</si>
  <si>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</si>
  <si>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</si>
  <si>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</si>
  <si>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</si>
  <si>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</si>
  <si>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</si>
  <si>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</si>
  <si>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</si>
  <si>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</si>
  <si>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</si>
  <si>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</si>
  <si>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</si>
  <si>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10" type="noConversion"/>
  </si>
  <si>
    <t>a_BeZero "count02"</t>
    <phoneticPr fontId="10" type="noConversion"/>
  </si>
  <si>
    <t>When One End</t>
    <phoneticPr fontId="10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</si>
  <si>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</si>
  <si>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</si>
  <si>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</si>
  <si>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</si>
  <si>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</si>
  <si>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</si>
  <si>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</si>
  <si>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</si>
  <si>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</si>
  <si>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</si>
  <si>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</si>
  <si>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</si>
  <si>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</si>
  <si>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</si>
  <si>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</si>
  <si>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</si>
  <si>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</si>
  <si>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</si>
  <si>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</si>
  <si>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</si>
  <si>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</si>
  <si>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</si>
  <si>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</si>
  <si>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</si>
  <si>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</si>
  <si>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</si>
  <si>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</si>
  <si>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</si>
  <si>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count07=1?</t>
    <phoneticPr fontId="1" type="noConversion"/>
  </si>
  <si>
    <t>a_BeOne "count07"</t>
    <phoneticPr fontId="1" type="noConversion"/>
  </si>
  <si>
    <t>Action</t>
    <phoneticPr fontId="1" type="noConversion"/>
  </si>
  <si>
    <t>a_X8</t>
    <phoneticPr fontId="1" type="noConversion"/>
  </si>
  <si>
    <t>a_X8</t>
    <phoneticPr fontId="10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</si>
  <si>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</si>
  <si>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</si>
  <si>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</si>
  <si>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a_LoadSetupVariables</t>
    <phoneticPr fontId="1" type="noConversion"/>
  </si>
  <si>
    <t>a_LoadSetupVariables</t>
    <phoneticPr fontId="10" type="noConversion"/>
  </si>
  <si>
    <t>Done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</si>
  <si>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</si>
  <si>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</si>
  <si>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</si>
  <si>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</si>
  <si>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a_AddOne "count07"</t>
    <phoneticPr fontId="1" type="noConversion"/>
  </si>
  <si>
    <t>simple or pro</t>
    <phoneticPr fontId="1" type="noConversion"/>
  </si>
  <si>
    <t>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</si>
  <si>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</si>
  <si>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</si>
  <si>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</si>
  <si>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</si>
  <si>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</si>
  <si>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</si>
  <si>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</si>
  <si>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</si>
  <si>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</si>
  <si>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Plugin No. :</t>
  </si>
  <si>
    <t>Avaible plugin:</t>
  </si>
  <si>
    <t>Loaded plugin:</t>
  </si>
  <si>
    <t>Need load</t>
    <phoneticPr fontId="1" type="noConversion"/>
  </si>
  <si>
    <t>Need unload</t>
    <phoneticPr fontId="1" type="noConversion"/>
  </si>
  <si>
    <t xml:space="preserve">   空程序</t>
  </si>
  <si>
    <t xml:space="preserve">   为count原有的值增加1</t>
  </si>
  <si>
    <t xml:space="preserve">   为count原有的值减少1</t>
  </si>
  <si>
    <t xml:space="preserve">   设置count的值为0</t>
  </si>
  <si>
    <t xml:space="preserve">   设置count的值为1</t>
  </si>
  <si>
    <t xml:space="preserve">    '   显示备注，which放在图形中</t>
  </si>
  <si>
    <t xml:space="preserve">    '   隐藏备注</t>
  </si>
  <si>
    <t xml:space="preserve">    '   设置one引擎能被打开</t>
  </si>
  <si>
    <t xml:space="preserve">    '   设置one引擎不能被打开</t>
  </si>
  <si>
    <t xml:space="preserve">    '   打开执行动作功能</t>
  </si>
  <si>
    <t xml:space="preserve">    '   关闭执行动作功能</t>
  </si>
  <si>
    <t xml:space="preserve">   把excel工作簿本身的名字，写入 setup</t>
  </si>
  <si>
    <t xml:space="preserve">   是否简单化excelsheet页的显示 让他看上去更像一个程序</t>
  </si>
  <si>
    <t xml:space="preserve">   最大化，最小化，正常化excel工具</t>
  </si>
  <si>
    <t xml:space="preserve">   显示指定的sheet,同时保留welcomepage和homepage，其他页隐藏</t>
  </si>
  <si>
    <t xml:space="preserve">   检查在setup页,指定的文件夹是否存在，不存在则创建</t>
  </si>
  <si>
    <t xml:space="preserve">   将log 页里面的内容加入到TXT中，log页清空</t>
  </si>
  <si>
    <t xml:space="preserve">   将M00 中的值归0</t>
  </si>
  <si>
    <t xml:space="preserve">   设置one引擎的运作次数</t>
  </si>
  <si>
    <t xml:space="preserve">   导出ACAK中所有代码</t>
  </si>
  <si>
    <t xml:space="preserve">   将core_setup中的变量导入公共变量中去</t>
  </si>
  <si>
    <t xml:space="preserve">   将子目录中具有plugin功能的xlsm文件探测出，并在core_plugin中显示，并导入</t>
  </si>
  <si>
    <t>a_X8()</t>
  </si>
  <si>
    <t>a_AddOne(Whichcount As String)</t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</si>
  <si>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</si>
  <si>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</si>
  <si>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</si>
  <si>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</si>
  <si>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</si>
  <si>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</si>
  <si>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</si>
  <si>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</si>
  <si>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</si>
  <si>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</si>
  <si>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</si>
  <si>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</si>
  <si>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</si>
  <si>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</si>
  <si>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</si>
  <si>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</si>
  <si>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</si>
  <si>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</si>
  <si>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a_LoadSetupVariables()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</si>
  <si>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</si>
  <si>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</si>
  <si>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</si>
  <si>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</si>
  <si>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</si>
  <si>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</si>
  <si>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</si>
  <si>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0.9.3 i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</si>
  <si>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</si>
  <si>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</si>
  <si>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</si>
  <si>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</si>
  <si>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</si>
  <si>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ACAK Core 0.9.3 j.xlsm - Excel</t>
    <phoneticPr fontId="1" type="noConversion"/>
  </si>
  <si>
    <t>C:\Users\sdupjj\Desktop\folders\vba\ACAK\ACAK Core 0.9.3 test - j\</t>
    <phoneticPr fontId="1" type="noConversion"/>
  </si>
  <si>
    <t>Plugin Time 0.1.xlsm</t>
  </si>
  <si>
    <t>Occupied</t>
  </si>
  <si>
    <t>Plugin:</t>
    <phoneticPr fontId="1" type="noConversion"/>
  </si>
  <si>
    <t>Provide Action / IF about time</t>
    <phoneticPr fontId="1" type="noConversion"/>
  </si>
  <si>
    <t>Y</t>
  </si>
  <si>
    <t xml:space="preserve">   '   睡多少个毫秒</t>
  </si>
  <si>
    <t xml:space="preserve">   '   睡多少个秒</t>
  </si>
  <si>
    <t>PI2_uc_testsheet1</t>
  </si>
  <si>
    <t>PI2_uc_setup</t>
  </si>
  <si>
    <t>PI2_uc_about</t>
  </si>
  <si>
    <t>PI2_uc_SleepMS(ms As Integer)</t>
  </si>
  <si>
    <t>PI2_uc_SleepS(S As Integer)</t>
  </si>
  <si>
    <t>PI2_uc_SleepMS 200</t>
    <phoneticPr fontId="1" type="noConversion"/>
  </si>
  <si>
    <t>PI2_uc_SleepS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</si>
</sst>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0" xfId="0" applyFont="1" applyFill="1">
      <alignment vertical="center"/>
    </xf>
    <xf numFmtId="0" fontId="9" fillId="12" borderId="0" xfId="0" applyFont="1" applyFill="1" applyAlignment="1"/>
    <xf numFmtId="0" fontId="0" fillId="3" borderId="0" xfId="0" applyFill="1" applyAlignment="1"/>
    <xf numFmtId="0" fontId="0" fillId="13" borderId="0" xfId="0" applyFill="1">
      <alignment vertical="center"/>
    </xf>
    <xf numFmtId="0" fontId="2" fillId="13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1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6" fillId="17" borderId="0" xfId="0" applyFont="1" applyFill="1">
      <alignment vertical="center"/>
    </xf>
    <xf numFmtId="0" fontId="0" fillId="18" borderId="0" xfId="0" applyFill="1">
      <alignment vertical="center"/>
    </xf>
    <xf numFmtId="0" fontId="0" fillId="19" borderId="0" xfId="0" applyFill="1" applyAlignment="1"/>
    <xf numFmtId="0" fontId="0" fillId="20" borderId="0" xfId="0" applyFill="1" applyAlignment="1"/>
    <xf numFmtId="0" fontId="13" fillId="21" borderId="2" xfId="0" applyFont="1" applyFill="1" applyBorder="1" applyAlignment="1">
      <alignment horizontal="center"/>
    </xf>
    <xf numFmtId="0" fontId="15" fillId="11" borderId="2" xfId="0" applyFont="1" applyFill="1" applyBorder="1" applyAlignment="1">
      <alignment horizontal="left" vertical="center"/>
    </xf>
    <xf numFmtId="0" fontId="14" fillId="14" borderId="0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引擎最大单次允许运行次数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19708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19705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19707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15228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22</xdr:row>
      <xdr:rowOff>4479</xdr:rowOff>
    </xdr:from>
    <xdr:to>
      <xdr:col>8</xdr:col>
      <xdr:colOff>483454</xdr:colOff>
      <xdr:row>27</xdr:row>
      <xdr:rowOff>19706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27</xdr:row>
      <xdr:rowOff>15227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197069</xdr:rowOff>
    </xdr:from>
    <xdr:to>
      <xdr:col>10</xdr:col>
      <xdr:colOff>231742</xdr:colOff>
      <xdr:row>27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203638</xdr:rowOff>
    </xdr:from>
    <xdr:to>
      <xdr:col>10</xdr:col>
      <xdr:colOff>231742</xdr:colOff>
      <xdr:row>27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23</xdr:row>
      <xdr:rowOff>4479</xdr:rowOff>
    </xdr:from>
    <xdr:to>
      <xdr:col>8</xdr:col>
      <xdr:colOff>483454</xdr:colOff>
      <xdr:row>28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23</xdr:row>
      <xdr:rowOff>0</xdr:rowOff>
    </xdr:from>
    <xdr:to>
      <xdr:col>9</xdr:col>
      <xdr:colOff>474794</xdr:colOff>
      <xdr:row>28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197069</xdr:rowOff>
    </xdr:from>
    <xdr:to>
      <xdr:col>10</xdr:col>
      <xdr:colOff>231742</xdr:colOff>
      <xdr:row>28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203638</xdr:rowOff>
    </xdr:from>
    <xdr:to>
      <xdr:col>10</xdr:col>
      <xdr:colOff>231742</xdr:colOff>
      <xdr:row>28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19707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27</xdr:row>
      <xdr:rowOff>19706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23</xdr:row>
      <xdr:rowOff>4479</xdr:rowOff>
    </xdr:from>
    <xdr:to>
      <xdr:col>9</xdr:col>
      <xdr:colOff>483454</xdr:colOff>
      <xdr:row>28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15230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19709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oneCellAnchor>
    <xdr:from>
      <xdr:col>9</xdr:col>
      <xdr:colOff>251712</xdr:colOff>
      <xdr:row>18</xdr:row>
      <xdr:rowOff>4479</xdr:rowOff>
    </xdr:from>
    <xdr:ext cx="231742" cy="1079786"/>
    <xdr:sp macro="" textlink="">
      <xdr:nvSpPr>
        <xdr:cNvPr id="584" name="五边形 28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 rot="5400000" flipH="1" flipV="1">
          <a:off x="1463749" y="312911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6"/>
    <xdr:sp macro="" textlink="">
      <xdr:nvSpPr>
        <xdr:cNvPr id="585" name="五边形 32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rot="5400000" flipH="1" flipV="1">
          <a:off x="1463749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20</xdr:row>
      <xdr:rowOff>4479</xdr:rowOff>
    </xdr:from>
    <xdr:ext cx="231742" cy="1079786"/>
    <xdr:sp macro="" textlink="">
      <xdr:nvSpPr>
        <xdr:cNvPr id="586" name="五边形 36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21</xdr:row>
      <xdr:rowOff>4479</xdr:rowOff>
    </xdr:from>
    <xdr:ext cx="231742" cy="1079786"/>
    <xdr:sp macro="" textlink="">
      <xdr:nvSpPr>
        <xdr:cNvPr id="587" name="五边形 40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15</xdr:row>
      <xdr:rowOff>33130</xdr:rowOff>
    </xdr:from>
    <xdr:to>
      <xdr:col>2</xdr:col>
      <xdr:colOff>198782</xdr:colOff>
      <xdr:row>16</xdr:row>
      <xdr:rowOff>149087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264215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19</xdr:row>
      <xdr:rowOff>107674</xdr:rowOff>
    </xdr:from>
    <xdr:to>
      <xdr:col>2</xdr:col>
      <xdr:colOff>182217</xdr:colOff>
      <xdr:row>21</xdr:row>
      <xdr:rowOff>49697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41243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17</xdr:row>
      <xdr:rowOff>49696</xdr:rowOff>
    </xdr:from>
    <xdr:to>
      <xdr:col>2</xdr:col>
      <xdr:colOff>182218</xdr:colOff>
      <xdr:row>18</xdr:row>
      <xdr:rowOff>165653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00658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>
    <xdr:from>
      <xdr:col>7</xdr:col>
      <xdr:colOff>320261</xdr:colOff>
      <xdr:row>1</xdr:row>
      <xdr:rowOff>80065</xdr:rowOff>
    </xdr:from>
    <xdr:to>
      <xdr:col>9</xdr:col>
      <xdr:colOff>215348</xdr:colOff>
      <xdr:row>3</xdr:row>
      <xdr:rowOff>49696</xdr:rowOff>
    </xdr:to>
    <xdr:sp macro="'a_ShowPage &quot;PI2_uc_testsheet1&quot;'" textlink="">
      <xdr:nvSpPr>
        <xdr:cNvPr id="6" name="PI2_uc_testsheet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4826000" y="254000"/>
          <a:ext cx="1270000" cy="3175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PI2_uc_testsheet1</a:t>
          </a:r>
          <a:endParaRPr lang="zh-CN" altLang="en-US" sz="700"/>
        </a:p>
      </xdr:txBody>
    </xdr:sp>
    <xdr:clientData/>
  </xdr:twoCellAnchor>
  <xdr:twoCellAnchor>
    <xdr:from>
      <xdr:col>7</xdr:col>
      <xdr:colOff>320261</xdr:colOff>
      <xdr:row>4</xdr:row>
      <xdr:rowOff>2761</xdr:rowOff>
    </xdr:from>
    <xdr:to>
      <xdr:col>9</xdr:col>
      <xdr:colOff>215348</xdr:colOff>
      <xdr:row>5</xdr:row>
      <xdr:rowOff>146326</xdr:rowOff>
    </xdr:to>
    <xdr:sp macro="'a_ShowPage &quot;PI2_uc_setup&quot;'" textlink="">
      <xdr:nvSpPr>
        <xdr:cNvPr id="19" name="PI2_uc_setup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4826000" y="698500"/>
          <a:ext cx="1270000" cy="3175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PI2_uc_setup</a:t>
          </a:r>
          <a:endParaRPr lang="zh-CN" altLang="en-US" sz="700"/>
        </a:p>
      </xdr:txBody>
    </xdr:sp>
    <xdr:clientData/>
  </xdr:twoCellAnchor>
  <xdr:twoCellAnchor>
    <xdr:from>
      <xdr:col>7</xdr:col>
      <xdr:colOff>320261</xdr:colOff>
      <xdr:row>6</xdr:row>
      <xdr:rowOff>99391</xdr:rowOff>
    </xdr:from>
    <xdr:to>
      <xdr:col>9</xdr:col>
      <xdr:colOff>215348</xdr:colOff>
      <xdr:row>8</xdr:row>
      <xdr:rowOff>69022</xdr:rowOff>
    </xdr:to>
    <xdr:sp macro="'a_ShowPage &quot;PI2_uc_about&quot;'" textlink="">
      <xdr:nvSpPr>
        <xdr:cNvPr id="20" name="PI2_uc_about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826000" y="1143000"/>
          <a:ext cx="1270000" cy="317500"/>
        </a:xfrm>
        <a:prstGeom prst="round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PI2_uc_about</a:t>
          </a:r>
          <a:endParaRPr lang="zh-CN" altLang="en-US" sz="7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3</xdr:row>
      <xdr:rowOff>75045</xdr:rowOff>
    </xdr:from>
    <xdr:to>
      <xdr:col>1</xdr:col>
      <xdr:colOff>556114</xdr:colOff>
      <xdr:row>3</xdr:row>
      <xdr:rowOff>662109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pSpPr/>
      </xdr:nvGrpSpPr>
      <xdr:grpSpPr>
        <a:xfrm>
          <a:off x="688975" y="75045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11114</xdr:colOff>
      <xdr:row>3</xdr:row>
      <xdr:rowOff>66553</xdr:rowOff>
    </xdr:from>
    <xdr:to>
      <xdr:col>3</xdr:col>
      <xdr:colOff>9770</xdr:colOff>
      <xdr:row>3</xdr:row>
      <xdr:rowOff>801077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582739" y="66553"/>
          <a:ext cx="1055931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Load Plugin</a:t>
          </a:r>
          <a:endParaRPr lang="zh-CN" altLang="en-US" sz="1800"/>
        </a:p>
      </xdr:txBody>
    </xdr:sp>
    <xdr:clientData/>
  </xdr:twoCellAnchor>
  <xdr:twoCellAnchor>
    <xdr:from>
      <xdr:col>5</xdr:col>
      <xdr:colOff>628650</xdr:colOff>
      <xdr:row>3</xdr:row>
      <xdr:rowOff>79789</xdr:rowOff>
    </xdr:from>
    <xdr:to>
      <xdr:col>7</xdr:col>
      <xdr:colOff>548206</xdr:colOff>
      <xdr:row>3</xdr:row>
      <xdr:rowOff>814313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6477000" y="79789"/>
          <a:ext cx="1291156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Unload Plugin</a:t>
          </a:r>
          <a:endParaRPr lang="zh-CN" altLang="en-US" sz="18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10</xdr:row>
      <xdr:rowOff>57150</xdr:rowOff>
    </xdr:from>
    <xdr:to>
      <xdr:col>4</xdr:col>
      <xdr:colOff>619614</xdr:colOff>
      <xdr:row>13</xdr:row>
      <xdr:rowOff>53664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66675" y="60960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a_LoadSetupVariables" textlink="">
        <xdr:nvSpPr>
          <xdr:cNvPr id="5" name="矩形: 圆角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a_LoadSetupVariable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a_LoadSetupVariables" textlink="">
        <xdr:nvSpPr>
          <xdr:cNvPr id="7" name="箭头: 下弧形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8"/>
  <sheetViews>
    <sheetView tabSelected="1" topLeftCell="E4" zoomScale="90" zoomScaleNormal="90" workbookViewId="0">
      <selection activeCell="M16" sqref="M16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0" hidden="1" x14ac:dyDescent="0.15"/>
    <row r="2" spans="1:10" hidden="1" x14ac:dyDescent="0.15"/>
    <row r="3" spans="1:10" hidden="1" x14ac:dyDescent="0.15"/>
    <row r="4" spans="1:10" s="15" customFormat="1" ht="35.25" customHeight="1" x14ac:dyDescent="0.15"/>
    <row r="5" spans="1:10" ht="10.5" customHeight="1" x14ac:dyDescent="0.15"/>
    <row r="6" spans="1:10" ht="21.75" customHeight="1" x14ac:dyDescent="0.15">
      <c r="I6" s="40" t="s">
        <v>103</v>
      </c>
      <c r="J6" s="41"/>
    </row>
    <row r="7" spans="1:10" ht="21.75" customHeight="1" x14ac:dyDescent="0.15">
      <c r="A7" s="12" t="s">
        <v>55</v>
      </c>
      <c r="I7" s="23" t="s">
        <v>55</v>
      </c>
      <c r="J7" s="23"/>
    </row>
    <row r="8" spans="1:10" ht="21.75" hidden="1" customHeight="1" thickBot="1" x14ac:dyDescent="0.15">
      <c r="F8" s="13"/>
    </row>
    <row r="9" spans="1:10" ht="21.75" customHeight="1" x14ac:dyDescent="0.15">
      <c r="F9" s="13">
        <f>VLOOKUP("Engine Loop",core_setup!F:G,2,0)</f>
        <v>20</v>
      </c>
      <c r="I9" s="13">
        <v>500</v>
      </c>
      <c r="J9" s="13">
        <v>500</v>
      </c>
    </row>
    <row r="10" spans="1:10" x14ac:dyDescent="0.15">
      <c r="F10" s="13">
        <f>core_count!B1</f>
        <v>0</v>
      </c>
      <c r="I10" s="13">
        <v>0</v>
      </c>
      <c r="J10" s="13">
        <v>0</v>
      </c>
    </row>
    <row r="11" spans="1:10" x14ac:dyDescent="0.15">
      <c r="I11" s="13">
        <v>1000</v>
      </c>
      <c r="J11" s="13">
        <v>1000</v>
      </c>
    </row>
    <row r="12" spans="1:10" x14ac:dyDescent="0.15">
      <c r="F12" s="13">
        <f>core_count!B2</f>
        <v>0</v>
      </c>
      <c r="I12" s="13">
        <v>0</v>
      </c>
      <c r="J12" s="13">
        <v>0</v>
      </c>
    </row>
    <row r="14" spans="1:10" hidden="1" x14ac:dyDescent="0.15"/>
    <row r="15" spans="1:10" x14ac:dyDescent="0.35">
      <c r="F15" s="34" t="s">
        <v>93</v>
      </c>
      <c r="G15" s="38">
        <v>0</v>
      </c>
      <c r="I15" s="13">
        <v>0</v>
      </c>
      <c r="J15" s="13">
        <v>1</v>
      </c>
    </row>
    <row r="19" spans="9:10" x14ac:dyDescent="0.15">
      <c r="I19" s="39" t="s">
        <v>108</v>
      </c>
      <c r="J19" s="39" t="s">
        <v>94</v>
      </c>
    </row>
    <row r="20" spans="9:10" x14ac:dyDescent="0.15">
      <c r="I20" s="39" t="s">
        <v>96</v>
      </c>
      <c r="J20" s="39" t="s">
        <v>96</v>
      </c>
    </row>
    <row r="21" spans="9:10" x14ac:dyDescent="0.15">
      <c r="I21" s="39" t="s">
        <v>196</v>
      </c>
      <c r="J21" s="39" t="s">
        <v>195</v>
      </c>
    </row>
    <row r="22" spans="9:10" x14ac:dyDescent="0.15">
      <c r="I22" s="39" t="s">
        <v>96</v>
      </c>
      <c r="J22" s="39" t="s">
        <v>96</v>
      </c>
    </row>
    <row r="23" spans="9:10" x14ac:dyDescent="0.15">
      <c r="I23" s="39" t="s">
        <v>96</v>
      </c>
      <c r="J23" s="39" t="s">
        <v>96</v>
      </c>
    </row>
    <row r="24" spans="9:10" x14ac:dyDescent="0.15">
      <c r="I24" s="39" t="s">
        <v>96</v>
      </c>
      <c r="J24" s="39" t="s">
        <v>96</v>
      </c>
    </row>
    <row r="25" spans="9:10" x14ac:dyDescent="0.15">
      <c r="I25" s="39" t="s">
        <v>96</v>
      </c>
      <c r="J25" s="39" t="s">
        <v>96</v>
      </c>
    </row>
    <row r="26" spans="9:10" x14ac:dyDescent="0.15">
      <c r="I26" s="39" t="s">
        <v>96</v>
      </c>
      <c r="J26" s="39" t="s">
        <v>96</v>
      </c>
    </row>
    <row r="28" spans="9:10" x14ac:dyDescent="0.15">
      <c r="J28" s="12" t="s">
        <v>90</v>
      </c>
    </row>
  </sheetData>
  <mergeCells count="1">
    <mergeCell ref="I6:J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2"/>
  <sheetViews>
    <sheetView zoomScale="145" zoomScaleNormal="145" workbookViewId="0">
      <selection activeCell="A10" sqref="A1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92</v>
      </c>
      <c r="C2" s="11" t="s">
        <v>93</v>
      </c>
      <c r="D2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H4" sqref="H4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107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</row>
    <row r="6" spans="1:3" x14ac:dyDescent="0.15">
      <c r="A6" t="s">
        <v>91</v>
      </c>
      <c r="B6">
        <v>5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9" sqref="B9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B8" sqref="B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64</v>
      </c>
    </row>
    <row r="2" spans="4:8" x14ac:dyDescent="0.15">
      <c r="D2" s="17" t="s">
        <v>102</v>
      </c>
      <c r="H2" s="17" t="s">
        <v>97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H23" sqref="H23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101</v>
      </c>
      <c r="H2" s="9" t="s">
        <v>101</v>
      </c>
    </row>
    <row r="3" spans="4:8" x14ac:dyDescent="0.15">
      <c r="D3" s="9" t="s">
        <v>61</v>
      </c>
      <c r="H3" s="9" t="s">
        <v>67</v>
      </c>
    </row>
    <row r="4" spans="4:8" x14ac:dyDescent="0.15">
      <c r="D4" s="9" t="s">
        <v>58</v>
      </c>
      <c r="H4" s="9" t="s">
        <v>71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100</v>
      </c>
      <c r="H7" s="9"/>
    </row>
    <row r="8" spans="4:8" x14ac:dyDescent="0.15">
      <c r="D8" s="9" t="s">
        <v>66</v>
      </c>
      <c r="H8" s="9"/>
    </row>
    <row r="9" spans="4:8" x14ac:dyDescent="0.15">
      <c r="D9" s="9" t="s">
        <v>69</v>
      </c>
      <c r="H9" s="9"/>
    </row>
    <row r="10" spans="4:8" x14ac:dyDescent="0.15">
      <c r="D10" s="9" t="s">
        <v>80</v>
      </c>
      <c r="H10" s="9"/>
    </row>
    <row r="11" spans="4:8" x14ac:dyDescent="0.15">
      <c r="D11" s="9" t="s">
        <v>116</v>
      </c>
      <c r="H11" s="9"/>
    </row>
    <row r="12" spans="4:8" x14ac:dyDescent="0.15">
      <c r="D12" s="9" t="s">
        <v>101</v>
      </c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L7" sqref="L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D060B-F7C5-4449-9DD9-C50B66FF2F9E}">
  <sheetPr codeName="Sheet19"/>
  <dimension ref="A1:G25"/>
  <sheetViews>
    <sheetView workbookViewId="0">
      <selection activeCell="I7" sqref="I7"/>
    </sheetView>
  </sheetViews>
  <sheetFormatPr defaultRowHeight="13.5" x14ac:dyDescent="0.15"/>
  <cols>
    <col min="6" max="6" width="13.25" customWidth="1"/>
  </cols>
  <sheetData>
    <row r="1" spans="1:7" x14ac:dyDescent="0.15">
      <c r="A1">
        <v>0</v>
      </c>
      <c r="B1" t="s">
        <v>169</v>
      </c>
      <c r="C1" t="s">
        <v>54</v>
      </c>
      <c r="D1" t="s">
        <v>170</v>
      </c>
      <c r="E1" t="s">
        <v>171</v>
      </c>
      <c r="F1" t="s">
        <v>173</v>
      </c>
      <c r="G1" t="s">
        <v>172</v>
      </c>
    </row>
    <row r="2" spans="1:7" x14ac:dyDescent="0.15">
      <c r="A2">
        <v>1</v>
      </c>
      <c r="B2">
        <v>380</v>
      </c>
      <c r="C2">
        <v>20</v>
      </c>
      <c r="D2">
        <v>100</v>
      </c>
      <c r="E2">
        <v>25</v>
      </c>
      <c r="F2" t="s">
        <v>190</v>
      </c>
      <c r="G2" t="s">
        <v>184</v>
      </c>
    </row>
    <row r="3" spans="1:7" x14ac:dyDescent="0.15">
      <c r="A3">
        <v>2</v>
      </c>
      <c r="B3">
        <v>380</v>
      </c>
      <c r="C3">
        <f>C2+E2+10</f>
        <v>55</v>
      </c>
      <c r="D3">
        <v>100</v>
      </c>
      <c r="E3">
        <v>25</v>
      </c>
      <c r="F3" t="s">
        <v>191</v>
      </c>
      <c r="G3" t="s">
        <v>184</v>
      </c>
    </row>
    <row r="4" spans="1:7" x14ac:dyDescent="0.15">
      <c r="A4">
        <v>3</v>
      </c>
      <c r="B4">
        <v>380</v>
      </c>
      <c r="C4">
        <f t="shared" ref="C4:C25" si="0">C3+E3+10</f>
        <v>90</v>
      </c>
      <c r="D4">
        <v>100</v>
      </c>
      <c r="E4">
        <v>25</v>
      </c>
      <c r="F4" t="s">
        <v>192</v>
      </c>
      <c r="G4" t="s">
        <v>184</v>
      </c>
    </row>
    <row r="5" spans="1:7" x14ac:dyDescent="0.15">
      <c r="A5">
        <v>4</v>
      </c>
      <c r="B5">
        <v>380</v>
      </c>
      <c r="C5">
        <f t="shared" si="0"/>
        <v>125</v>
      </c>
      <c r="D5">
        <v>100</v>
      </c>
      <c r="E5">
        <v>25</v>
      </c>
    </row>
    <row r="6" spans="1:7" x14ac:dyDescent="0.15">
      <c r="A6">
        <v>5</v>
      </c>
      <c r="B6">
        <v>380</v>
      </c>
      <c r="C6">
        <f t="shared" si="0"/>
        <v>160</v>
      </c>
      <c r="D6">
        <v>100</v>
      </c>
      <c r="E6">
        <v>25</v>
      </c>
    </row>
    <row r="7" spans="1:7" x14ac:dyDescent="0.15">
      <c r="A7">
        <v>6</v>
      </c>
      <c r="B7">
        <v>380</v>
      </c>
      <c r="C7">
        <f t="shared" si="0"/>
        <v>195</v>
      </c>
      <c r="D7">
        <v>100</v>
      </c>
      <c r="E7">
        <v>25</v>
      </c>
    </row>
    <row r="8" spans="1:7" x14ac:dyDescent="0.15">
      <c r="A8">
        <v>7</v>
      </c>
      <c r="B8">
        <v>380</v>
      </c>
      <c r="C8">
        <f t="shared" si="0"/>
        <v>230</v>
      </c>
      <c r="D8">
        <v>100</v>
      </c>
      <c r="E8">
        <v>25</v>
      </c>
    </row>
    <row r="9" spans="1:7" x14ac:dyDescent="0.15">
      <c r="A9">
        <v>8</v>
      </c>
      <c r="B9">
        <v>380</v>
      </c>
      <c r="C9">
        <f t="shared" si="0"/>
        <v>265</v>
      </c>
      <c r="D9">
        <v>100</v>
      </c>
      <c r="E9">
        <v>25</v>
      </c>
    </row>
    <row r="10" spans="1:7" x14ac:dyDescent="0.15">
      <c r="A10">
        <v>9</v>
      </c>
      <c r="B10">
        <v>500</v>
      </c>
      <c r="C10">
        <v>20</v>
      </c>
      <c r="D10">
        <v>100</v>
      </c>
      <c r="E10">
        <v>25</v>
      </c>
    </row>
    <row r="11" spans="1:7" x14ac:dyDescent="0.15">
      <c r="A11">
        <v>10</v>
      </c>
      <c r="B11">
        <v>500</v>
      </c>
      <c r="C11">
        <f t="shared" si="0"/>
        <v>55</v>
      </c>
      <c r="D11">
        <v>100</v>
      </c>
      <c r="E11">
        <v>25</v>
      </c>
    </row>
    <row r="12" spans="1:7" x14ac:dyDescent="0.15">
      <c r="A12">
        <v>11</v>
      </c>
      <c r="B12">
        <v>500</v>
      </c>
      <c r="C12">
        <f t="shared" si="0"/>
        <v>90</v>
      </c>
      <c r="D12">
        <v>100</v>
      </c>
      <c r="E12">
        <v>25</v>
      </c>
    </row>
    <row r="13" spans="1:7" x14ac:dyDescent="0.15">
      <c r="A13">
        <v>12</v>
      </c>
      <c r="B13">
        <v>500</v>
      </c>
      <c r="C13">
        <f t="shared" si="0"/>
        <v>125</v>
      </c>
      <c r="D13">
        <v>100</v>
      </c>
      <c r="E13">
        <v>25</v>
      </c>
    </row>
    <row r="14" spans="1:7" x14ac:dyDescent="0.15">
      <c r="A14">
        <v>13</v>
      </c>
      <c r="B14">
        <v>500</v>
      </c>
      <c r="C14">
        <f t="shared" si="0"/>
        <v>160</v>
      </c>
      <c r="D14">
        <v>100</v>
      </c>
      <c r="E14">
        <v>25</v>
      </c>
    </row>
    <row r="15" spans="1:7" x14ac:dyDescent="0.15">
      <c r="A15">
        <v>14</v>
      </c>
      <c r="B15">
        <v>500</v>
      </c>
      <c r="C15">
        <f t="shared" si="0"/>
        <v>195</v>
      </c>
      <c r="D15">
        <v>100</v>
      </c>
      <c r="E15">
        <v>25</v>
      </c>
    </row>
    <row r="16" spans="1:7" x14ac:dyDescent="0.15">
      <c r="A16">
        <v>15</v>
      </c>
      <c r="B16">
        <v>500</v>
      </c>
      <c r="C16">
        <f t="shared" si="0"/>
        <v>230</v>
      </c>
      <c r="D16">
        <v>100</v>
      </c>
      <c r="E16">
        <v>25</v>
      </c>
    </row>
    <row r="17" spans="1:5" x14ac:dyDescent="0.15">
      <c r="A17">
        <v>16</v>
      </c>
      <c r="B17">
        <v>500</v>
      </c>
      <c r="C17">
        <f t="shared" si="0"/>
        <v>265</v>
      </c>
      <c r="D17">
        <v>100</v>
      </c>
      <c r="E17">
        <v>25</v>
      </c>
    </row>
    <row r="18" spans="1:5" x14ac:dyDescent="0.15">
      <c r="A18">
        <v>17</v>
      </c>
      <c r="B18">
        <v>620</v>
      </c>
      <c r="C18">
        <v>20</v>
      </c>
      <c r="D18">
        <v>100</v>
      </c>
      <c r="E18">
        <v>25</v>
      </c>
    </row>
    <row r="19" spans="1:5" x14ac:dyDescent="0.15">
      <c r="A19">
        <v>18</v>
      </c>
      <c r="B19">
        <v>620</v>
      </c>
      <c r="C19">
        <f t="shared" si="0"/>
        <v>55</v>
      </c>
      <c r="D19">
        <v>100</v>
      </c>
      <c r="E19">
        <v>25</v>
      </c>
    </row>
    <row r="20" spans="1:5" x14ac:dyDescent="0.15">
      <c r="A20">
        <v>19</v>
      </c>
      <c r="B20">
        <v>620</v>
      </c>
      <c r="C20">
        <f t="shared" si="0"/>
        <v>90</v>
      </c>
      <c r="D20">
        <v>100</v>
      </c>
      <c r="E20">
        <v>25</v>
      </c>
    </row>
    <row r="21" spans="1:5" x14ac:dyDescent="0.15">
      <c r="A21">
        <v>20</v>
      </c>
      <c r="B21">
        <v>620</v>
      </c>
      <c r="C21">
        <f t="shared" si="0"/>
        <v>125</v>
      </c>
      <c r="D21">
        <v>100</v>
      </c>
      <c r="E21">
        <v>25</v>
      </c>
    </row>
    <row r="22" spans="1:5" x14ac:dyDescent="0.15">
      <c r="A22">
        <v>21</v>
      </c>
      <c r="B22">
        <v>620</v>
      </c>
      <c r="C22">
        <f t="shared" si="0"/>
        <v>160</v>
      </c>
      <c r="D22">
        <v>100</v>
      </c>
      <c r="E22">
        <v>25</v>
      </c>
    </row>
    <row r="23" spans="1:5" x14ac:dyDescent="0.15">
      <c r="A23">
        <v>22</v>
      </c>
      <c r="B23">
        <v>620</v>
      </c>
      <c r="C23">
        <f t="shared" si="0"/>
        <v>195</v>
      </c>
      <c r="D23">
        <v>100</v>
      </c>
      <c r="E23">
        <v>25</v>
      </c>
    </row>
    <row r="24" spans="1:5" x14ac:dyDescent="0.15">
      <c r="A24">
        <v>23</v>
      </c>
      <c r="B24">
        <v>620</v>
      </c>
      <c r="C24">
        <f t="shared" si="0"/>
        <v>230</v>
      </c>
      <c r="D24">
        <v>100</v>
      </c>
      <c r="E24">
        <v>25</v>
      </c>
    </row>
    <row r="25" spans="1:5" x14ac:dyDescent="0.15">
      <c r="A25">
        <v>24</v>
      </c>
      <c r="B25">
        <v>620</v>
      </c>
      <c r="C25">
        <f t="shared" si="0"/>
        <v>265</v>
      </c>
      <c r="D25">
        <v>100</v>
      </c>
      <c r="E25">
        <v>25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DB91-9F5C-4FA2-9EA5-6AE3B1EA351E}">
  <sheetPr codeName="Sheet15"/>
  <dimension ref="A1:K70"/>
  <sheetViews>
    <sheetView topLeftCell="A4" workbookViewId="0">
      <selection activeCell="D11" sqref="D11"/>
    </sheetView>
  </sheetViews>
  <sheetFormatPr defaultRowHeight="13.5" x14ac:dyDescent="0.15"/>
  <cols>
    <col min="3" max="3" width="17.75" customWidth="1"/>
    <col min="4" max="4" width="28.375" customWidth="1"/>
    <col min="5" max="5" width="7" customWidth="1"/>
    <col min="8" max="8" width="15.25" customWidth="1"/>
    <col min="9" max="9" width="23.125" customWidth="1"/>
  </cols>
  <sheetData>
    <row r="1" spans="1:11" hidden="1" x14ac:dyDescent="0.15"/>
    <row r="2" spans="1:11" hidden="1" x14ac:dyDescent="0.15"/>
    <row r="3" spans="1:11" hidden="1" x14ac:dyDescent="0.15"/>
    <row r="4" spans="1:11" s="15" customFormat="1" ht="69" customHeight="1" x14ac:dyDescent="0.15">
      <c r="C4" s="24"/>
      <c r="D4" s="25" t="s">
        <v>118</v>
      </c>
      <c r="E4" s="26" t="s">
        <v>123</v>
      </c>
      <c r="F4" s="24"/>
      <c r="G4" s="24"/>
      <c r="H4" s="25"/>
      <c r="I4" s="25" t="s">
        <v>118</v>
      </c>
      <c r="J4" s="27" t="s">
        <v>119</v>
      </c>
      <c r="K4" s="26" t="s">
        <v>124</v>
      </c>
    </row>
    <row r="5" spans="1:11" s="8" customFormat="1" ht="16.5" x14ac:dyDescent="0.15">
      <c r="A5" s="5" t="s">
        <v>120</v>
      </c>
      <c r="B5" s="4">
        <v>2</v>
      </c>
      <c r="C5" s="28" t="s">
        <v>121</v>
      </c>
      <c r="D5" s="29" t="s">
        <v>183</v>
      </c>
      <c r="E5" s="31"/>
      <c r="F5" s="30"/>
      <c r="G5" s="30"/>
      <c r="H5" s="28" t="s">
        <v>122</v>
      </c>
      <c r="I5" s="29" t="s">
        <v>183</v>
      </c>
      <c r="J5" s="32">
        <v>2</v>
      </c>
      <c r="K5" s="31" t="s">
        <v>187</v>
      </c>
    </row>
    <row r="6" spans="1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1:11" s="8" customFormat="1" ht="16.5" x14ac:dyDescent="0.15">
      <c r="D7" s="29"/>
      <c r="E7" s="31"/>
      <c r="I7" s="29"/>
      <c r="J7" s="32"/>
      <c r="K7" s="31"/>
    </row>
    <row r="8" spans="1:11" s="8" customFormat="1" ht="16.5" x14ac:dyDescent="0.15">
      <c r="D8" s="29"/>
      <c r="E8" s="31"/>
      <c r="I8" s="29"/>
      <c r="J8" s="32"/>
      <c r="K8" s="31"/>
    </row>
    <row r="9" spans="1:11" s="8" customFormat="1" ht="16.5" x14ac:dyDescent="0.15">
      <c r="D9" s="29"/>
      <c r="E9" s="31"/>
      <c r="I9" s="29"/>
      <c r="J9" s="32"/>
      <c r="K9" s="31"/>
    </row>
    <row r="10" spans="1:11" s="8" customFormat="1" ht="16.5" x14ac:dyDescent="0.15">
      <c r="D10" s="29"/>
      <c r="E10" s="31"/>
      <c r="I10" s="29"/>
      <c r="J10" s="32"/>
      <c r="K10" s="31"/>
    </row>
    <row r="11" spans="1:11" s="8" customFormat="1" ht="16.5" x14ac:dyDescent="0.15">
      <c r="D11" s="29"/>
      <c r="E11" s="31"/>
      <c r="I11" s="29"/>
      <c r="J11" s="32"/>
      <c r="K11" s="31"/>
    </row>
    <row r="12" spans="1:11" s="8" customFormat="1" ht="16.5" x14ac:dyDescent="0.15">
      <c r="D12" s="29"/>
      <c r="E12" s="31"/>
      <c r="I12" s="29"/>
      <c r="J12" s="32"/>
      <c r="K12" s="31"/>
    </row>
    <row r="13" spans="1:11" s="8" customFormat="1" ht="16.5" x14ac:dyDescent="0.15">
      <c r="D13" s="29"/>
      <c r="E13" s="31"/>
      <c r="I13" s="29"/>
      <c r="J13" s="32"/>
      <c r="K13" s="31"/>
    </row>
    <row r="14" spans="1:11" s="8" customFormat="1" ht="16.5" x14ac:dyDescent="0.15">
      <c r="D14" s="29"/>
      <c r="E14" s="31"/>
      <c r="I14" s="29"/>
      <c r="J14" s="32"/>
      <c r="K14" s="31"/>
    </row>
    <row r="15" spans="1:11" s="8" customFormat="1" ht="16.5" x14ac:dyDescent="0.15">
      <c r="D15" s="29"/>
      <c r="E15" s="31"/>
      <c r="I15" s="29"/>
      <c r="J15" s="32"/>
      <c r="K15" s="31"/>
    </row>
    <row r="16" spans="1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E2D60-D946-4F7C-95E9-FD8F559FDA5A}">
  <sheetPr codeName="Sheet14"/>
  <dimension ref="A1"/>
  <sheetViews>
    <sheetView zoomScale="205" zoomScaleNormal="205" workbookViewId="0">
      <selection activeCell="D10" sqref="D10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4DF79-702A-48BA-BDA1-1A35BF6617FE}">
  <sheetPr codeName="Sheet16"/>
  <dimension ref="F1:G19"/>
  <sheetViews>
    <sheetView topLeftCell="E8" zoomScale="145" zoomScaleNormal="145" workbookViewId="0">
      <selection activeCell="F23" sqref="F23"/>
    </sheetView>
  </sheetViews>
  <sheetFormatPr defaultColWidth="8.75" defaultRowHeight="13.5" x14ac:dyDescent="0.15"/>
  <cols>
    <col min="1" max="4" width="0" style="35" hidden="1" customWidth="1"/>
    <col min="5" max="5" width="8.75" style="35"/>
    <col min="6" max="6" width="15.75" style="35" customWidth="1"/>
    <col min="7" max="7" width="43.875" style="35" customWidth="1"/>
    <col min="8" max="16384" width="8.75" style="35"/>
  </cols>
  <sheetData>
    <row r="1" spans="6:7" hidden="1" x14ac:dyDescent="0.15"/>
    <row r="2" spans="6:7" hidden="1" x14ac:dyDescent="0.15"/>
    <row r="3" spans="6:7" hidden="1" x14ac:dyDescent="0.15"/>
    <row r="4" spans="6:7" hidden="1" x14ac:dyDescent="0.15"/>
    <row r="5" spans="6:7" hidden="1" x14ac:dyDescent="0.15"/>
    <row r="6" spans="6:7" hidden="1" x14ac:dyDescent="0.15"/>
    <row r="7" spans="6:7" hidden="1" x14ac:dyDescent="0.15"/>
    <row r="9" spans="6:7" x14ac:dyDescent="0.15">
      <c r="F9" s="36"/>
      <c r="G9" s="37"/>
    </row>
    <row r="11" spans="6:7" x14ac:dyDescent="0.15">
      <c r="F11" s="36"/>
      <c r="G11" s="37"/>
    </row>
    <row r="13" spans="6:7" x14ac:dyDescent="0.15">
      <c r="F13" s="36"/>
      <c r="G13" s="37"/>
    </row>
    <row r="15" spans="6:7" x14ac:dyDescent="0.15">
      <c r="F15" s="36"/>
      <c r="G15" s="37"/>
    </row>
    <row r="17" spans="6:7" x14ac:dyDescent="0.15">
      <c r="F17" s="36"/>
      <c r="G17" s="37"/>
    </row>
    <row r="19" spans="6:7" x14ac:dyDescent="0.15">
      <c r="F19" s="36"/>
      <c r="G19" s="3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5AF66-3924-40FB-958E-53073F89B494}">
  <sheetPr codeName="Sheet17"/>
  <dimension ref="B2:C3"/>
  <sheetViews>
    <sheetView workbookViewId="0">
      <selection activeCell="G13" sqref="G13"/>
    </sheetView>
  </sheetViews>
  <sheetFormatPr defaultRowHeight="13.5" x14ac:dyDescent="0.15"/>
  <sheetData>
    <row r="2" spans="2:3" x14ac:dyDescent="0.15">
      <c r="B2" t="s">
        <v>185</v>
      </c>
    </row>
    <row r="3" spans="2:3" x14ac:dyDescent="0.15">
      <c r="C3" t="s">
        <v>186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413D-E4BF-4ED9-975A-8BC571FD5BA1}">
  <sheetPr codeName="Sheet13"/>
  <dimension ref="C1:C24"/>
  <sheetViews>
    <sheetView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174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5"/>
  <sheetViews>
    <sheetView workbookViewId="0">
      <selection activeCell="C14" sqref="C14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95</v>
      </c>
      <c r="C1" t="s">
        <v>50</v>
      </c>
    </row>
    <row r="2" spans="1:3" x14ac:dyDescent="0.15">
      <c r="A2">
        <v>1</v>
      </c>
      <c r="B2" t="s">
        <v>147</v>
      </c>
      <c r="C2" s="33" t="s">
        <v>125</v>
      </c>
    </row>
    <row r="3" spans="1:3" x14ac:dyDescent="0.15">
      <c r="A3">
        <v>2</v>
      </c>
      <c r="B3" t="s">
        <v>148</v>
      </c>
      <c r="C3" s="33" t="s">
        <v>126</v>
      </c>
    </row>
    <row r="4" spans="1:3" x14ac:dyDescent="0.15">
      <c r="A4">
        <v>3</v>
      </c>
      <c r="B4" t="s">
        <v>149</v>
      </c>
      <c r="C4" s="33" t="s">
        <v>127</v>
      </c>
    </row>
    <row r="5" spans="1:3" x14ac:dyDescent="0.15">
      <c r="A5">
        <v>4</v>
      </c>
      <c r="B5" t="s">
        <v>150</v>
      </c>
      <c r="C5" s="33" t="s">
        <v>128</v>
      </c>
    </row>
    <row r="6" spans="1:3" x14ac:dyDescent="0.15">
      <c r="A6">
        <v>5</v>
      </c>
      <c r="B6" t="s">
        <v>151</v>
      </c>
      <c r="C6" s="33" t="s">
        <v>129</v>
      </c>
    </row>
    <row r="7" spans="1:3" x14ac:dyDescent="0.15">
      <c r="A7">
        <v>6</v>
      </c>
      <c r="B7" t="s">
        <v>152</v>
      </c>
      <c r="C7" t="s">
        <v>130</v>
      </c>
    </row>
    <row r="8" spans="1:3" x14ac:dyDescent="0.15">
      <c r="A8">
        <v>7</v>
      </c>
      <c r="B8" t="s">
        <v>153</v>
      </c>
      <c r="C8" t="s">
        <v>131</v>
      </c>
    </row>
    <row r="9" spans="1:3" x14ac:dyDescent="0.15">
      <c r="A9">
        <v>8</v>
      </c>
      <c r="B9" t="s">
        <v>154</v>
      </c>
      <c r="C9" t="s">
        <v>132</v>
      </c>
    </row>
    <row r="10" spans="1:3" x14ac:dyDescent="0.15">
      <c r="A10">
        <v>9</v>
      </c>
      <c r="B10" t="s">
        <v>155</v>
      </c>
      <c r="C10" t="s">
        <v>133</v>
      </c>
    </row>
    <row r="11" spans="1:3" x14ac:dyDescent="0.15">
      <c r="A11">
        <v>10</v>
      </c>
      <c r="B11" t="s">
        <v>156</v>
      </c>
      <c r="C11" t="s">
        <v>134</v>
      </c>
    </row>
    <row r="12" spans="1:3" x14ac:dyDescent="0.15">
      <c r="A12">
        <v>11</v>
      </c>
      <c r="B12" t="s">
        <v>157</v>
      </c>
      <c r="C12" t="s">
        <v>135</v>
      </c>
    </row>
    <row r="13" spans="1:3" x14ac:dyDescent="0.15">
      <c r="A13">
        <v>12</v>
      </c>
      <c r="B13" t="s">
        <v>158</v>
      </c>
      <c r="C13" s="33" t="s">
        <v>136</v>
      </c>
    </row>
    <row r="14" spans="1:3" x14ac:dyDescent="0.15">
      <c r="A14">
        <v>13</v>
      </c>
      <c r="B14" t="s">
        <v>159</v>
      </c>
      <c r="C14" s="33" t="s">
        <v>137</v>
      </c>
    </row>
    <row r="15" spans="1:3" x14ac:dyDescent="0.15">
      <c r="A15">
        <v>14</v>
      </c>
      <c r="B15" t="s">
        <v>160</v>
      </c>
      <c r="C15" s="33" t="s">
        <v>138</v>
      </c>
    </row>
    <row r="16" spans="1:3" x14ac:dyDescent="0.15">
      <c r="A16">
        <v>15</v>
      </c>
      <c r="B16" t="s">
        <v>161</v>
      </c>
      <c r="C16" s="33" t="s">
        <v>139</v>
      </c>
    </row>
    <row r="17" spans="1:3" x14ac:dyDescent="0.15">
      <c r="A17">
        <v>16</v>
      </c>
      <c r="B17" t="s">
        <v>162</v>
      </c>
      <c r="C17" s="33" t="s">
        <v>140</v>
      </c>
    </row>
    <row r="18" spans="1:3" x14ac:dyDescent="0.15">
      <c r="A18">
        <v>17</v>
      </c>
      <c r="B18" t="s">
        <v>163</v>
      </c>
      <c r="C18" s="33" t="s">
        <v>141</v>
      </c>
    </row>
    <row r="19" spans="1:3" x14ac:dyDescent="0.15">
      <c r="A19">
        <v>18</v>
      </c>
      <c r="B19" t="s">
        <v>164</v>
      </c>
      <c r="C19" s="33" t="s">
        <v>142</v>
      </c>
    </row>
    <row r="20" spans="1:3" x14ac:dyDescent="0.15">
      <c r="A20">
        <v>19</v>
      </c>
      <c r="B20" t="s">
        <v>165</v>
      </c>
      <c r="C20" s="33" t="s">
        <v>143</v>
      </c>
    </row>
    <row r="21" spans="1:3" x14ac:dyDescent="0.15">
      <c r="A21">
        <v>20</v>
      </c>
      <c r="B21" t="s">
        <v>166</v>
      </c>
      <c r="C21" s="33" t="s">
        <v>144</v>
      </c>
    </row>
    <row r="22" spans="1:3" x14ac:dyDescent="0.15">
      <c r="A22">
        <v>21</v>
      </c>
      <c r="B22" t="s">
        <v>167</v>
      </c>
      <c r="C22" s="33" t="s">
        <v>145</v>
      </c>
    </row>
    <row r="23" spans="1:3" x14ac:dyDescent="0.15">
      <c r="A23">
        <v>22</v>
      </c>
      <c r="B23" t="s">
        <v>168</v>
      </c>
      <c r="C23" s="33" t="s">
        <v>146</v>
      </c>
    </row>
    <row r="24" spans="1:3" x14ac:dyDescent="0.15">
      <c r="A24">
        <v>23</v>
      </c>
      <c r="B24" t="s">
        <v>193</v>
      </c>
      <c r="C24" s="33" t="s">
        <v>188</v>
      </c>
    </row>
    <row r="25" spans="1:3" x14ac:dyDescent="0.15">
      <c r="A25">
        <v>24</v>
      </c>
      <c r="B25" t="s">
        <v>194</v>
      </c>
      <c r="C25" s="33" t="s">
        <v>189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7"/>
  <sheetViews>
    <sheetView topLeftCell="E8" workbookViewId="0">
      <selection activeCell="J29" sqref="J29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181</v>
      </c>
    </row>
    <row r="11" spans="6:8" ht="16.5" x14ac:dyDescent="0.15">
      <c r="F11" s="5" t="s">
        <v>1</v>
      </c>
      <c r="G11" s="4" t="s">
        <v>182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1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72</v>
      </c>
      <c r="G39" s="4">
        <v>7</v>
      </c>
    </row>
    <row r="40" spans="6:8" x14ac:dyDescent="0.15">
      <c r="F40" s="6"/>
    </row>
    <row r="41" spans="6:8" ht="16.5" x14ac:dyDescent="0.15">
      <c r="F41" s="5" t="s">
        <v>77</v>
      </c>
      <c r="G41" s="4" t="s">
        <v>79</v>
      </c>
      <c r="H41" s="3" t="s">
        <v>0</v>
      </c>
    </row>
    <row r="42" spans="6:8" x14ac:dyDescent="0.15">
      <c r="F42" s="6"/>
    </row>
    <row r="43" spans="6:8" ht="16.5" x14ac:dyDescent="0.15">
      <c r="F43" s="5" t="s">
        <v>78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74</v>
      </c>
      <c r="G45" s="4">
        <v>9</v>
      </c>
    </row>
    <row r="46" spans="6:8" x14ac:dyDescent="0.15">
      <c r="F46" s="6"/>
    </row>
    <row r="47" spans="6:8" ht="16.5" x14ac:dyDescent="0.15">
      <c r="F47" s="5" t="s">
        <v>73</v>
      </c>
      <c r="G47" s="4">
        <v>10</v>
      </c>
    </row>
    <row r="48" spans="6:8" x14ac:dyDescent="0.15">
      <c r="F48" s="6"/>
    </row>
    <row r="49" spans="6:7" ht="16.5" x14ac:dyDescent="0.15">
      <c r="F49" s="5" t="s">
        <v>75</v>
      </c>
      <c r="G49" s="4">
        <v>11</v>
      </c>
    </row>
    <row r="50" spans="6:7" x14ac:dyDescent="0.15">
      <c r="F50" s="6"/>
    </row>
    <row r="51" spans="6:7" ht="16.5" x14ac:dyDescent="0.15">
      <c r="F51" s="5" t="s">
        <v>76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1</v>
      </c>
    </row>
    <row r="58" spans="6:7" x14ac:dyDescent="0.15">
      <c r="F58" s="6"/>
    </row>
    <row r="59" spans="6:7" ht="16.5" x14ac:dyDescent="0.15">
      <c r="F59" s="5" t="s">
        <v>45</v>
      </c>
      <c r="G59" s="4">
        <v>2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70</v>
      </c>
      <c r="G69" s="4" t="s">
        <v>25</v>
      </c>
    </row>
    <row r="71" spans="6:7" ht="16.5" x14ac:dyDescent="0.15">
      <c r="F71" s="5" t="s">
        <v>98</v>
      </c>
      <c r="G71" s="4" t="s">
        <v>68</v>
      </c>
    </row>
    <row r="73" spans="6:7" ht="16.5" x14ac:dyDescent="0.15">
      <c r="F73" s="5" t="s">
        <v>99</v>
      </c>
      <c r="G73" s="4" t="s">
        <v>117</v>
      </c>
    </row>
    <row r="75" spans="6:7" ht="16.5" x14ac:dyDescent="0.15">
      <c r="F75" s="5" t="s">
        <v>111</v>
      </c>
      <c r="G75" s="4" t="s">
        <v>112</v>
      </c>
    </row>
    <row r="77" spans="6:7" ht="16.5" x14ac:dyDescent="0.15">
      <c r="F77" s="5" t="s">
        <v>113</v>
      </c>
      <c r="G77" s="4" t="s">
        <v>114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showRowColHeaders="0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65</v>
      </c>
      <c r="D6" s="4" t="s">
        <v>110</v>
      </c>
      <c r="E6" s="19" t="s">
        <v>109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81</v>
      </c>
      <c r="C1" t="s">
        <v>82</v>
      </c>
    </row>
    <row r="2" spans="2:3" x14ac:dyDescent="0.15">
      <c r="B2" s="20"/>
      <c r="C2" t="s">
        <v>104</v>
      </c>
    </row>
    <row r="3" spans="2:3" x14ac:dyDescent="0.15">
      <c r="B3" s="20"/>
      <c r="C3" t="s">
        <v>105</v>
      </c>
    </row>
    <row r="4" spans="2:3" x14ac:dyDescent="0.15">
      <c r="C4" t="s">
        <v>106</v>
      </c>
    </row>
    <row r="5" spans="2:3" x14ac:dyDescent="0.15">
      <c r="C5" t="s">
        <v>115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8"/>
  <sheetViews>
    <sheetView workbookViewId="0">
      <selection activeCell="F11" sqref="F1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83</v>
      </c>
    </row>
    <row r="5" spans="2:2" x14ac:dyDescent="0.15">
      <c r="B5" s="21" t="s">
        <v>84</v>
      </c>
    </row>
    <row r="7" spans="2:2" x14ac:dyDescent="0.15">
      <c r="B7" s="22" t="s">
        <v>176</v>
      </c>
    </row>
    <row r="8" spans="2:2" x14ac:dyDescent="0.15">
      <c r="B8" s="21" t="s">
        <v>85</v>
      </c>
    </row>
    <row r="9" spans="2:2" x14ac:dyDescent="0.15">
      <c r="B9" s="21" t="s">
        <v>86</v>
      </c>
    </row>
    <row r="10" spans="2:2" x14ac:dyDescent="0.15">
      <c r="B10" s="21" t="s">
        <v>87</v>
      </c>
    </row>
    <row r="12" spans="2:2" x14ac:dyDescent="0.15">
      <c r="B12" s="22" t="s">
        <v>177</v>
      </c>
    </row>
    <row r="13" spans="2:2" x14ac:dyDescent="0.15">
      <c r="B13" s="21" t="s">
        <v>178</v>
      </c>
    </row>
    <row r="14" spans="2:2" x14ac:dyDescent="0.15">
      <c r="B14" s="21" t="s">
        <v>179</v>
      </c>
    </row>
    <row r="15" spans="2:2" x14ac:dyDescent="0.15">
      <c r="B15" s="21" t="s">
        <v>180</v>
      </c>
    </row>
    <row r="17" spans="2:3" x14ac:dyDescent="0.15">
      <c r="B17" s="22" t="s">
        <v>88</v>
      </c>
    </row>
    <row r="18" spans="2:3" x14ac:dyDescent="0.15">
      <c r="B18" s="21" t="s">
        <v>89</v>
      </c>
      <c r="C18" s="21" t="s">
        <v>175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core_homepage_setup</vt:lpstr>
      <vt:lpstr>core_plugin</vt:lpstr>
      <vt:lpstr>PI2_uc_testsheet1</vt:lpstr>
      <vt:lpstr>PI2_uc_setup</vt:lpstr>
      <vt:lpstr>PI2_uc_about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2018-12-29T06:02:43Z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