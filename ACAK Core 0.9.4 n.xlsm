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n\"/>
    </mc:Choice>
  </mc:AlternateContent>
  <xr:revisionPtr revIDLastSave="0" documentId="13_ncr:1_{BBD162A8-8863-42D1-9B9F-FF1E4D82DF57}" xr6:coauthVersionLast="43" xr6:coauthVersionMax="43" xr10:uidLastSave="{00000000-0000-0000-0000-000000000000}"/>
  <bookViews>
    <workbookView xWindow="-120" yWindow="-120" windowWidth="20730" windowHeight="11310" tabRatio="770" firstSheet="6" activeTab="11" xr2:uid="{00000000-000D-0000-FFFF-FFFF00000000}"/>
  </bookViews>
  <sheets>
    <sheet name="core_screen" sheetId="3" r:id="rId1"/>
    <sheet name="core_if" sheetId="7" r:id="rId2"/>
    <sheet name="core_count" sheetId="8" r:id="rId3"/>
    <sheet name="core_log" sheetId="9" r:id="rId4"/>
    <sheet name="core_engine_setup" sheetId="5" r:id="rId5"/>
    <sheet name="core_ACAK_setup" sheetId="6" r:id="rId6"/>
    <sheet name="core_homepage" sheetId="10" r:id="rId7"/>
    <sheet name="Core_ACAK_structure" sheetId="65" state="hidden" r:id="rId8"/>
    <sheet name="core_ifcamp" sheetId="64" r:id="rId9"/>
    <sheet name="core_homepage_setup" sheetId="30" r:id="rId10"/>
    <sheet name="core_plugin" sheetId="17" r:id="rId11"/>
    <sheet name="core_debug" sheetId="15" r:id="rId12"/>
    <sheet name="core_actions" sheetId="11" r:id="rId13"/>
    <sheet name="core_setup" sheetId="4" r:id="rId14"/>
    <sheet name="core_changelog" sheetId="13" state="hidden" r:id="rId15"/>
    <sheet name="core_about" sheetId="14" r:id="rId16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2" i="3"/>
  <c r="F11" i="3"/>
  <c r="F10" i="3"/>
</calcChain>
</file>

<file path=xl/sharedStrings.xml><?xml version="1.0" encoding="utf-8"?>
<sst xmlns="http://schemas.openxmlformats.org/spreadsheetml/2006/main" count="327" uniqueCount="246">
  <si>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</si>
  <si>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</si>
  <si>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</si>
  <si>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</si>
  <si>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</si>
  <si>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</si>
  <si>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</si>
  <si>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</si>
  <si>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</si>
  <si>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</si>
  <si>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</si>
  <si>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</si>
  <si>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</si>
  <si>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</si>
  <si>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</si>
  <si>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</si>
  <si>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</si>
  <si>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</si>
  <si>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</si>
  <si>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</si>
  <si>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</si>
  <si>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</si>
  <si>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</si>
  <si>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</si>
  <si>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</si>
  <si>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</si>
  <si>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</si>
  <si>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</si>
  <si>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</si>
  <si>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</si>
  <si>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</si>
  <si>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</si>
  <si>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</si>
  <si>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</si>
  <si>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</si>
  <si>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</si>
  <si>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</si>
  <si>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</si>
  <si>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</si>
  <si>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</si>
  <si>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</si>
  <si>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</si>
  <si>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</si>
  <si>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</si>
  <si>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</si>
  <si>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</si>
  <si>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</si>
  <si>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</si>
  <si>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</si>
  <si>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</si>
  <si>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</si>
  <si>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</si>
  <si>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</si>
  <si>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</si>
  <si>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</si>
  <si>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</si>
  <si>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</si>
  <si>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</si>
  <si>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</si>
  <si>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</si>
  <si>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</si>
  <si>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</si>
  <si>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</si>
  <si>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</si>
  <si>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</si>
  <si>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</si>
  <si>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</si>
  <si>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</si>
  <si>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</si>
  <si>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</si>
  <si>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</si>
  <si>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</si>
  <si>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</si>
  <si>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</si>
  <si>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</si>
  <si>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</si>
  <si>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</si>
  <si>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</si>
  <si>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</si>
  <si>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</si>
  <si>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</si>
  <si>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</si>
  <si>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</si>
  <si>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</si>
  <si>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</si>
  <si>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</si>
  <si>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</si>
  <si>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</si>
  <si>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</si>
  <si>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</si>
  <si>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</si>
  <si>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</si>
  <si>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</si>
  <si>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</si>
  <si>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</si>
  <si>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</si>
  <si>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</si>
  <si>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</si>
  <si>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</si>
  <si>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</si>
  <si>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</si>
  <si>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</si>
  <si>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</si>
  <si>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</si>
  <si>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</si>
  <si>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</si>
  <si>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</si>
  <si>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</si>
  <si>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</si>
  <si>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</si>
  <si>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</si>
  <si>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</si>
  <si>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</si>
  <si>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</si>
  <si>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</si>
  <si>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</si>
  <si>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</si>
  <si>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</si>
  <si>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</si>
  <si>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</si>
  <si>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</si>
  <si>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</si>
  <si>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</si>
  <si>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</si>
  <si>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</si>
  <si>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</si>
  <si>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 xml:space="preserve"> </t>
    <phoneticPr fontId="1" type="noConversion"/>
  </si>
  <si>
    <t>G16</t>
    <phoneticPr fontId="1" type="noConversion"/>
  </si>
  <si>
    <t>&lt;-sample02</t>
    <phoneticPr fontId="1" type="noConversion"/>
  </si>
  <si>
    <t>&lt;-Benchmark02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</si>
  <si>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</si>
  <si>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</si>
  <si>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</si>
  <si>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</si>
  <si>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</si>
  <si>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</si>
  <si>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</si>
  <si>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</si>
  <si>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</si>
  <si>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</si>
  <si>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</si>
  <si>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</si>
  <si>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</si>
  <si>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</si>
  <si>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</si>
  <si>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</si>
  <si>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</si>
  <si>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</si>
  <si>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</si>
  <si>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</si>
  <si>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</si>
  <si>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</si>
  <si>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</si>
  <si>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</si>
  <si>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</si>
  <si>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count08&gt;=1?</t>
    <phoneticPr fontId="1" type="noConversion"/>
  </si>
  <si>
    <t>.</t>
    <phoneticPr fontId="1" type="noConversion"/>
  </si>
  <si>
    <t>a_X8()</t>
  </si>
  <si>
    <t>Folder For Plugin Sub Folder 01</t>
    <phoneticPr fontId="1" type="noConversion"/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</si>
  <si>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</si>
  <si>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</si>
  <si>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</si>
  <si>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</si>
  <si>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</si>
  <si>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a_BeZero "count07"</t>
    <phoneticPr fontId="1" type="noConversion"/>
  </si>
  <si>
    <t>a_AddOne "count08"</t>
    <phoneticPr fontId="1" type="noConversion"/>
  </si>
  <si>
    <t>a_X8</t>
    <phoneticPr fontId="1" type="noConversion"/>
  </si>
  <si>
    <t>Done</t>
    <phoneticPr fontId="1" type="noConversion"/>
  </si>
  <si>
    <t>a_AddOne "count07"</t>
    <phoneticPr fontId="1" type="noConversion"/>
  </si>
  <si>
    <t>a_BeZero "count08"</t>
    <phoneticPr fontId="1" type="noConversion"/>
  </si>
  <si>
    <t>ShowInInfoWindowsLogLevel</t>
    <phoneticPr fontId="1" type="noConversion"/>
  </si>
  <si>
    <t>pro</t>
    <phoneticPr fontId="1" type="noConversion"/>
  </si>
  <si>
    <t>Error;Warning;Debug;Info;Print</t>
    <phoneticPr fontId="1" type="noConversion"/>
  </si>
  <si>
    <t>a_ShowPage(pagename As String)</t>
  </si>
  <si>
    <t>Father Folder</t>
    <phoneticPr fontId="1" type="noConversion"/>
  </si>
  <si>
    <t>Print;Error</t>
    <phoneticPr fontId="1" type="noConversion"/>
  </si>
  <si>
    <t>\SS\</t>
    <phoneticPr fontId="1" type="noConversion"/>
  </si>
  <si>
    <t>\SSbenchmark\</t>
    <phoneticPr fontId="1" type="noConversion"/>
  </si>
  <si>
    <t>Error;Print</t>
    <phoneticPr fontId="1" type="noConversion"/>
  </si>
  <si>
    <t>\FPbenchmark\</t>
    <phoneticPr fontId="1" type="noConversion"/>
  </si>
  <si>
    <t>\TempA\</t>
    <phoneticPr fontId="1" type="noConversion"/>
  </si>
  <si>
    <t>\TempB\</t>
    <phoneticPr fontId="1" type="noConversion"/>
  </si>
  <si>
    <t>\TempC\</t>
    <phoneticPr fontId="1" type="noConversion"/>
  </si>
  <si>
    <t>Folder For SSlive</t>
    <phoneticPr fontId="1" type="noConversion"/>
  </si>
  <si>
    <t>Folder For SSbenchmark</t>
    <phoneticPr fontId="1" type="noConversion"/>
  </si>
  <si>
    <t>Folder For FPbenchmark</t>
    <phoneticPr fontId="1" type="noConversion"/>
  </si>
  <si>
    <t>Folder For TempA</t>
    <phoneticPr fontId="1" type="noConversion"/>
  </si>
  <si>
    <t>Folder For TempB</t>
    <phoneticPr fontId="1" type="noConversion"/>
  </si>
  <si>
    <t>Folder For TempC</t>
    <phoneticPr fontId="1" type="noConversion"/>
  </si>
  <si>
    <t>HideOtherPagesWhenActiveAPage</t>
    <phoneticPr fontId="1" type="noConversion"/>
  </si>
  <si>
    <t>Y or N</t>
    <phoneticPr fontId="1" type="noConversion"/>
  </si>
  <si>
    <t>if_IFonCo "G16", "count08", "count06"</t>
    <phoneticPr fontId="1" type="noConversion"/>
  </si>
  <si>
    <t>count07&gt;=1?</t>
  </si>
  <si>
    <t>count08&gt;=1?</t>
  </si>
  <si>
    <t>&lt;-ACAK打开后 One所有运转次数 / Total One engine running times, after ACAK opened</t>
    <phoneticPr fontId="1" type="noConversion"/>
  </si>
  <si>
    <t>&lt;-one重新发动后，运行次数 / Total One engine running times, after One engine opened</t>
    <phoneticPr fontId="1" type="noConversion"/>
  </si>
  <si>
    <t>&lt;-log 记录次数 / how many records are recorded in core_log</t>
    <phoneticPr fontId="1" type="noConversion"/>
  </si>
  <si>
    <t>sdupjj1987@163.com</t>
    <phoneticPr fontId="1" type="noConversion"/>
  </si>
  <si>
    <t>GUID</t>
    <phoneticPr fontId="1" type="noConversion"/>
  </si>
  <si>
    <t>Major</t>
    <phoneticPr fontId="1" type="noConversion"/>
  </si>
  <si>
    <t>Minor</t>
    <phoneticPr fontId="1" type="noConversion"/>
  </si>
  <si>
    <t>Name</t>
    <phoneticPr fontId="1" type="noConversion"/>
  </si>
  <si>
    <t>Reference</t>
    <phoneticPr fontId="1" type="noConversion"/>
  </si>
  <si>
    <t>Sheets</t>
    <phoneticPr fontId="1" type="noConversion"/>
  </si>
  <si>
    <t>Core_ACAK_structure</t>
    <phoneticPr fontId="1" type="noConversion"/>
  </si>
  <si>
    <t>core_changelog</t>
    <phoneticPr fontId="1" type="noConversion"/>
  </si>
  <si>
    <t>core_about</t>
    <phoneticPr fontId="1" type="noConversion"/>
  </si>
  <si>
    <t>core_debug</t>
    <phoneticPr fontId="1" type="noConversion"/>
  </si>
  <si>
    <t>core_ifcamp</t>
    <phoneticPr fontId="1" type="noConversion"/>
  </si>
  <si>
    <t>core_homepage_setup</t>
    <phoneticPr fontId="1" type="noConversion"/>
  </si>
  <si>
    <t>core_setup</t>
    <phoneticPr fontId="1" type="noConversion"/>
  </si>
  <si>
    <t>core_homepage</t>
    <phoneticPr fontId="1" type="noConversion"/>
  </si>
  <si>
    <t>core_actions</t>
    <phoneticPr fontId="1" type="noConversion"/>
  </si>
  <si>
    <t>Checked</t>
    <phoneticPr fontId="1" type="noConversion"/>
  </si>
  <si>
    <t>a_CheckACAKCore()</t>
  </si>
  <si>
    <t>1   检查ACAKCore是否完整，页面是否都存在，引用是否都存在</t>
  </si>
  <si>
    <t>ACAK = Automation Robot based on Excel + VBA = Core + Plugins</t>
    <phoneticPr fontId="1" type="noConversion"/>
  </si>
  <si>
    <t>ACAK：</t>
    <phoneticPr fontId="1" type="noConversion"/>
  </si>
  <si>
    <t>Version：</t>
    <phoneticPr fontId="1" type="noConversion"/>
  </si>
  <si>
    <t>Owner：</t>
    <phoneticPr fontId="1" type="noConversion"/>
  </si>
  <si>
    <t>Core:</t>
    <phoneticPr fontId="1" type="noConversion"/>
  </si>
  <si>
    <t>Email:</t>
    <phoneticPr fontId="1" type="noConversion"/>
  </si>
  <si>
    <t>ACAK Core 0.9.4 n.xlsm - Excel</t>
    <phoneticPr fontId="1" type="noConversion"/>
  </si>
  <si>
    <t>C:\Users\sdupjj\Desktop\folders\vba\ACAK\ACAK Core\ACAK Core 0.9.4 - n</t>
    <phoneticPr fontId="1" type="noConversion"/>
  </si>
  <si>
    <t>0.9.4 n</t>
    <phoneticPr fontId="1" type="noConversion"/>
  </si>
  <si>
    <t>Folder For Settings</t>
    <phoneticPr fontId="1" type="noConversion"/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</si>
  <si>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</si>
  <si>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</si>
  <si>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</si>
  <si>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</si>
  <si>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</si>
  <si>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</si>
  <si>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</si>
  <si>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</si>
  <si>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VBIDE</t>
  </si>
  <si>
    <t>{0002E157-0000-0000-C000-000000000046}</t>
  </si>
  <si>
    <t>MSForms</t>
  </si>
  <si>
    <t>{0D452EE1-E08F-101A-852E-02608C4D0BB4}</t>
  </si>
  <si>
    <t>MSXML2</t>
  </si>
  <si>
    <t>{F5078F18-C551-11D3-89B9-0000F81FE221}</t>
  </si>
  <si>
    <t>\settings backup\</t>
    <phoneticPr fontId="1" type="noConversion"/>
  </si>
  <si>
    <t>Y</t>
  </si>
  <si>
    <t>Export settings of sheets to sub-folder “settings backup”.</t>
    <phoneticPr fontId="1" type="noConversion"/>
  </si>
  <si>
    <t>a_CheckACAK</t>
    <phoneticPr fontId="1" type="noConversion"/>
  </si>
  <si>
    <t>单元格</t>
    <phoneticPr fontId="1" type="noConversion"/>
  </si>
  <si>
    <t>No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</si>
</sst>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4" borderId="0" xfId="0" applyFill="1">
      <alignment vertical="center"/>
    </xf>
    <xf numFmtId="0" fontId="10" fillId="16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3" fillId="2" borderId="0" xfId="0" applyFont="1" applyFill="1" applyAlignment="1">
      <alignment horizontal="left" vertical="center"/>
    </xf>
    <xf numFmtId="0" fontId="11" fillId="17" borderId="2" xfId="0" applyFont="1" applyFill="1" applyBorder="1" applyAlignment="1">
      <alignment horizontal="center"/>
    </xf>
    <xf numFmtId="0" fontId="11" fillId="15" borderId="2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0" xfId="0" applyFill="1" applyAlignment="1">
      <alignment horizontal="left" vertical="center"/>
    </xf>
    <xf numFmtId="0" fontId="12" fillId="15" borderId="0" xfId="0" applyFont="1" applyFill="1" applyAlignment="1">
      <alignment horizontal="center" vertical="center"/>
    </xf>
    <xf numFmtId="0" fontId="15" fillId="18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Status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4</xdr:col>
      <xdr:colOff>163652</xdr:colOff>
      <xdr:row>29</xdr:row>
      <xdr:rowOff>11210</xdr:rowOff>
    </xdr:from>
    <xdr:to>
      <xdr:col>5</xdr:col>
      <xdr:colOff>287402</xdr:colOff>
      <xdr:row>30</xdr:row>
      <xdr:rowOff>34035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3652" y="5479681"/>
          <a:ext cx="291838" cy="23573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333907</xdr:colOff>
      <xdr:row>29</xdr:row>
      <xdr:rowOff>11210</xdr:rowOff>
    </xdr:from>
    <xdr:to>
      <xdr:col>5</xdr:col>
      <xdr:colOff>643049</xdr:colOff>
      <xdr:row>30</xdr:row>
      <xdr:rowOff>34389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501995" y="5479681"/>
          <a:ext cx="309142" cy="23609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692258</xdr:colOff>
      <xdr:row>29</xdr:row>
      <xdr:rowOff>11210</xdr:rowOff>
    </xdr:from>
    <xdr:to>
      <xdr:col>5</xdr:col>
      <xdr:colOff>1099039</xdr:colOff>
      <xdr:row>30</xdr:row>
      <xdr:rowOff>34389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60777" y="5462441"/>
          <a:ext cx="406781" cy="2356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CN" sz="800"/>
            <a:t>Close</a:t>
          </a:r>
        </a:p>
      </xdr:txBody>
    </xdr:sp>
    <xdr:clientData/>
  </xdr:twoCellAnchor>
  <xdr:twoCellAnchor editAs="absolute">
    <xdr:from>
      <xdr:col>5</xdr:col>
      <xdr:colOff>0</xdr:colOff>
      <xdr:row>25</xdr:row>
      <xdr:rowOff>111351</xdr:rowOff>
    </xdr:from>
    <xdr:to>
      <xdr:col>5</xdr:col>
      <xdr:colOff>306000</xdr:colOff>
      <xdr:row>26</xdr:row>
      <xdr:rowOff>133199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73935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25</xdr:row>
      <xdr:rowOff>111351</xdr:rowOff>
    </xdr:from>
    <xdr:to>
      <xdr:col>5</xdr:col>
      <xdr:colOff>649776</xdr:colOff>
      <xdr:row>26</xdr:row>
      <xdr:rowOff>133199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7711" y="4617090"/>
          <a:ext cx="306000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25</xdr:row>
      <xdr:rowOff>111351</xdr:rowOff>
    </xdr:from>
    <xdr:to>
      <xdr:col>5</xdr:col>
      <xdr:colOff>988808</xdr:colOff>
      <xdr:row>26</xdr:row>
      <xdr:rowOff>133199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61487" y="4617090"/>
          <a:ext cx="301256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25</xdr:row>
      <xdr:rowOff>111351</xdr:rowOff>
    </xdr:from>
    <xdr:to>
      <xdr:col>6</xdr:col>
      <xdr:colOff>223930</xdr:colOff>
      <xdr:row>26</xdr:row>
      <xdr:rowOff>133199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200518" y="4617090"/>
          <a:ext cx="315499" cy="2289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170940</xdr:rowOff>
    </xdr:from>
    <xdr:to>
      <xdr:col>5</xdr:col>
      <xdr:colOff>306000</xdr:colOff>
      <xdr:row>27</xdr:row>
      <xdr:rowOff>186687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73935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170940</xdr:rowOff>
    </xdr:from>
    <xdr:to>
      <xdr:col>5</xdr:col>
      <xdr:colOff>649776</xdr:colOff>
      <xdr:row>27</xdr:row>
      <xdr:rowOff>186687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7711" y="4883744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26</xdr:row>
      <xdr:rowOff>168137</xdr:rowOff>
    </xdr:from>
    <xdr:to>
      <xdr:col>5</xdr:col>
      <xdr:colOff>991800</xdr:colOff>
      <xdr:row>27</xdr:row>
      <xdr:rowOff>183884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9735" y="4880941"/>
          <a:ext cx="306000" cy="222813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8034</xdr:colOff>
      <xdr:row>29</xdr:row>
      <xdr:rowOff>11213</xdr:rowOff>
    </xdr:from>
    <xdr:to>
      <xdr:col>6</xdr:col>
      <xdr:colOff>253855</xdr:colOff>
      <xdr:row>30</xdr:row>
      <xdr:rowOff>36332</xdr:rowOff>
    </xdr:to>
    <xdr:sp macro="[0]!cs_ShowInfoWindow" textlink="">
      <xdr:nvSpPr>
        <xdr:cNvPr id="28" name="Rectangle 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290246" y="5462444"/>
          <a:ext cx="245821" cy="2376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CN" sz="800"/>
            <a:t>Info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57978</xdr:colOff>
      <xdr:row>8</xdr:row>
      <xdr:rowOff>115956</xdr:rowOff>
    </xdr:from>
    <xdr:to>
      <xdr:col>2</xdr:col>
      <xdr:colOff>173934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38978" y="1487556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57978</xdr:colOff>
      <xdr:row>10</xdr:row>
      <xdr:rowOff>144668</xdr:rowOff>
    </xdr:from>
    <xdr:to>
      <xdr:col>2</xdr:col>
      <xdr:colOff>173934</xdr:colOff>
      <xdr:row>12</xdr:row>
      <xdr:rowOff>86691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38978" y="1859168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57978</xdr:colOff>
      <xdr:row>13</xdr:row>
      <xdr:rowOff>1931</xdr:rowOff>
    </xdr:from>
    <xdr:to>
      <xdr:col>2</xdr:col>
      <xdr:colOff>173934</xdr:colOff>
      <xdr:row>14</xdr:row>
      <xdr:rowOff>117888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38978" y="2230781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57978</xdr:colOff>
      <xdr:row>17</xdr:row>
      <xdr:rowOff>64325</xdr:rowOff>
    </xdr:from>
    <xdr:to>
      <xdr:col>2</xdr:col>
      <xdr:colOff>173934</xdr:colOff>
      <xdr:row>19</xdr:row>
      <xdr:rowOff>8832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38978" y="2978975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57978</xdr:colOff>
      <xdr:row>21</xdr:row>
      <xdr:rowOff>124235</xdr:rowOff>
    </xdr:from>
    <xdr:to>
      <xdr:col>2</xdr:col>
      <xdr:colOff>173934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38978" y="3724685"/>
          <a:ext cx="801756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621196</xdr:colOff>
      <xdr:row>8</xdr:row>
      <xdr:rowOff>99391</xdr:rowOff>
    </xdr:from>
    <xdr:to>
      <xdr:col>4</xdr:col>
      <xdr:colOff>364436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687996" y="1470991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621196</xdr:colOff>
      <xdr:row>10</xdr:row>
      <xdr:rowOff>140804</xdr:rowOff>
    </xdr:from>
    <xdr:to>
      <xdr:col>4</xdr:col>
      <xdr:colOff>347870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687996" y="1855304"/>
          <a:ext cx="1098274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57978</xdr:colOff>
      <xdr:row>19</xdr:row>
      <xdr:rowOff>95522</xdr:rowOff>
    </xdr:from>
    <xdr:to>
      <xdr:col>2</xdr:col>
      <xdr:colOff>173934</xdr:colOff>
      <xdr:row>21</xdr:row>
      <xdr:rowOff>37545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38978" y="3353072"/>
          <a:ext cx="801756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5</xdr:col>
      <xdr:colOff>165652</xdr:colOff>
      <xdr:row>10</xdr:row>
      <xdr:rowOff>154058</xdr:rowOff>
    </xdr:from>
    <xdr:to>
      <xdr:col>6</xdr:col>
      <xdr:colOff>588065</xdr:colOff>
      <xdr:row>12</xdr:row>
      <xdr:rowOff>96080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89852" y="1868558"/>
          <a:ext cx="1108213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183460</xdr:colOff>
      <xdr:row>8</xdr:row>
      <xdr:rowOff>117199</xdr:rowOff>
    </xdr:from>
    <xdr:to>
      <xdr:col>6</xdr:col>
      <xdr:colOff>605873</xdr:colOff>
      <xdr:row>10</xdr:row>
      <xdr:rowOff>59222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7660" y="1488799"/>
          <a:ext cx="1108213" cy="284923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15</xdr:row>
      <xdr:rowOff>24848</xdr:rowOff>
    </xdr:from>
    <xdr:to>
      <xdr:col>4</xdr:col>
      <xdr:colOff>356153</xdr:colOff>
      <xdr:row>16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7996" y="2596598"/>
          <a:ext cx="1106557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621196</xdr:colOff>
      <xdr:row>13</xdr:row>
      <xdr:rowOff>2484</xdr:rowOff>
    </xdr:from>
    <xdr:to>
      <xdr:col>4</xdr:col>
      <xdr:colOff>389284</xdr:colOff>
      <xdr:row>14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87996" y="2231334"/>
          <a:ext cx="1139688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33128</xdr:rowOff>
    </xdr:from>
    <xdr:to>
      <xdr:col>2</xdr:col>
      <xdr:colOff>173934</xdr:colOff>
      <xdr:row>16</xdr:row>
      <xdr:rowOff>149085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04878"/>
          <a:ext cx="801756" cy="28740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0</xdr:col>
      <xdr:colOff>676809</xdr:colOff>
      <xdr:row>2</xdr:row>
      <xdr:rowOff>75810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143337" y="-11476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123825</xdr:colOff>
      <xdr:row>0</xdr:row>
      <xdr:rowOff>76200</xdr:rowOff>
    </xdr:from>
    <xdr:to>
      <xdr:col>4</xdr:col>
      <xdr:colOff>113177</xdr:colOff>
      <xdr:row>0</xdr:row>
      <xdr:rowOff>468406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6200000">
          <a:off x="5751698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390526</xdr:colOff>
      <xdr:row>0</xdr:row>
      <xdr:rowOff>133351</xdr:rowOff>
    </xdr:from>
    <xdr:to>
      <xdr:col>6</xdr:col>
      <xdr:colOff>66676</xdr:colOff>
      <xdr:row>0</xdr:row>
      <xdr:rowOff>561975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7248526" y="133351"/>
          <a:ext cx="361950" cy="42862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40585</xdr:colOff>
      <xdr:row>1</xdr:row>
      <xdr:rowOff>116785</xdr:rowOff>
    </xdr:from>
    <xdr:to>
      <xdr:col>1</xdr:col>
      <xdr:colOff>29937</xdr:colOff>
      <xdr:row>1</xdr:row>
      <xdr:rowOff>506920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16200000">
          <a:off x="183922" y="495252"/>
          <a:ext cx="390135" cy="676809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6191250</xdr:colOff>
          <xdr:row>2</xdr:row>
          <xdr:rowOff>514350</xdr:rowOff>
        </xdr:from>
        <xdr:to>
          <xdr:col>3</xdr:col>
          <xdr:colOff>1819275</xdr:colOff>
          <xdr:row>4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24847</xdr:colOff>
      <xdr:row>0</xdr:row>
      <xdr:rowOff>173935</xdr:rowOff>
    </xdr:from>
    <xdr:to>
      <xdr:col>2</xdr:col>
      <xdr:colOff>1139687</xdr:colOff>
      <xdr:row>0</xdr:row>
      <xdr:rowOff>458857</xdr:rowOff>
    </xdr:to>
    <xdr:sp macro="[0]!'a_ShowPage &quot;Core_ACAK_structure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399760" y="173935"/>
          <a:ext cx="1114840" cy="28492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Core_ACAK_structure</a:t>
          </a:r>
          <a:endParaRPr lang="en-US" altLang="zh-CN" sz="900" b="1">
            <a:solidFill>
              <a:schemeClr val="bg1"/>
            </a:solidFill>
            <a:latin typeface="微软雅黑" pitchFamily="34" charset="-122"/>
            <a:ea typeface="微软雅黑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6181725</xdr:colOff>
          <xdr:row>4</xdr:row>
          <xdr:rowOff>514350</xdr:rowOff>
        </xdr:from>
        <xdr:to>
          <xdr:col>3</xdr:col>
          <xdr:colOff>1809750</xdr:colOff>
          <xdr:row>6</xdr:row>
          <xdr:rowOff>9525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B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133349</xdr:colOff>
      <xdr:row>2</xdr:row>
      <xdr:rowOff>295275</xdr:rowOff>
    </xdr:from>
    <xdr:to>
      <xdr:col>14</xdr:col>
      <xdr:colOff>476250</xdr:colOff>
      <xdr:row>11</xdr:row>
      <xdr:rowOff>116022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610224" y="7143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="85" zoomScaleNormal="85" workbookViewId="0">
      <selection activeCell="E4" sqref="E4"/>
    </sheetView>
  </sheetViews>
  <sheetFormatPr defaultColWidth="9" defaultRowHeight="16.5" x14ac:dyDescent="0.15"/>
  <cols>
    <col min="1" max="4" width="0" style="11" hidden="1" customWidth="1"/>
    <col min="5" max="5" width="2.25" style="11" customWidth="1"/>
    <col min="6" max="6" width="14.625" style="11" customWidth="1"/>
    <col min="7" max="7" width="3.875" style="11" customWidth="1"/>
    <col min="8" max="8" width="5.25" style="11" customWidth="1"/>
    <col min="9" max="10" width="11.625" style="11" customWidth="1"/>
    <col min="11" max="16384" width="9" style="11"/>
  </cols>
  <sheetData>
    <row r="1" spans="1:14" hidden="1" x14ac:dyDescent="0.15">
      <c r="A1" s="11">
        <v>1</v>
      </c>
    </row>
    <row r="2" spans="1:14" hidden="1" x14ac:dyDescent="0.15"/>
    <row r="3" spans="1:14" hidden="1" x14ac:dyDescent="0.15"/>
    <row r="4" spans="1:14" s="13" customFormat="1" ht="35.25" customHeight="1" x14ac:dyDescent="0.15">
      <c r="B4" s="11"/>
    </row>
    <row r="5" spans="1:14" ht="10.5" customHeight="1" x14ac:dyDescent="0.15"/>
    <row r="6" spans="1:14" ht="21.75" customHeight="1" x14ac:dyDescent="0.15">
      <c r="I6" s="40" t="s">
        <v>167</v>
      </c>
      <c r="J6" s="40"/>
      <c r="K6" s="40"/>
      <c r="L6" s="40"/>
    </row>
    <row r="7" spans="1:14" ht="21.75" customHeight="1" x14ac:dyDescent="0.15">
      <c r="A7" s="11" t="s">
        <v>50</v>
      </c>
      <c r="I7" s="19"/>
      <c r="J7" s="19"/>
      <c r="K7" s="19"/>
      <c r="L7" s="19" t="s">
        <v>50</v>
      </c>
      <c r="M7" s="19"/>
      <c r="N7" s="19"/>
    </row>
    <row r="8" spans="1:14" ht="21.75" hidden="1" customHeight="1" thickBot="1" x14ac:dyDescent="0.2"/>
    <row r="9" spans="1:14" ht="21.75" customHeight="1" x14ac:dyDescent="0.15">
      <c r="I9" s="12">
        <v>10</v>
      </c>
      <c r="J9" s="12">
        <v>10</v>
      </c>
      <c r="K9" s="12">
        <v>10</v>
      </c>
      <c r="L9" s="12">
        <v>10</v>
      </c>
    </row>
    <row r="10" spans="1:14" x14ac:dyDescent="0.15">
      <c r="F10" s="12">
        <f>core_count!B1</f>
        <v>0</v>
      </c>
      <c r="I10" s="12">
        <v>0</v>
      </c>
      <c r="J10" s="12">
        <v>0</v>
      </c>
      <c r="K10" s="12">
        <v>0</v>
      </c>
      <c r="L10" s="12">
        <v>0</v>
      </c>
    </row>
    <row r="11" spans="1:14" x14ac:dyDescent="0.15">
      <c r="F11" s="12">
        <f>VLOOKUP("Engine Loop",core_setup!F:G,2,0)</f>
        <v>50</v>
      </c>
      <c r="I11" s="12">
        <v>100</v>
      </c>
      <c r="J11" s="12">
        <v>100</v>
      </c>
      <c r="K11" s="12">
        <v>100</v>
      </c>
      <c r="L11" s="12">
        <v>100</v>
      </c>
    </row>
    <row r="12" spans="1:14" x14ac:dyDescent="0.15">
      <c r="F12" s="12">
        <f>core_count!B2</f>
        <v>0</v>
      </c>
      <c r="I12" s="12">
        <v>0</v>
      </c>
      <c r="J12" s="12">
        <v>0</v>
      </c>
      <c r="K12" s="12">
        <v>0</v>
      </c>
      <c r="L12" s="12">
        <v>0</v>
      </c>
    </row>
    <row r="14" spans="1:14" hidden="1" x14ac:dyDescent="0.15"/>
    <row r="15" spans="1:14" x14ac:dyDescent="0.35">
      <c r="F15" s="12" t="s">
        <v>130</v>
      </c>
      <c r="G15" s="35">
        <v>0</v>
      </c>
      <c r="I15" s="12">
        <v>1</v>
      </c>
      <c r="J15" s="12">
        <v>0</v>
      </c>
      <c r="K15" s="12">
        <v>8</v>
      </c>
      <c r="L15" s="12">
        <v>8</v>
      </c>
    </row>
    <row r="16" spans="1:14" x14ac:dyDescent="0.35">
      <c r="F16" s="12" t="s">
        <v>155</v>
      </c>
      <c r="G16" s="36">
        <v>1</v>
      </c>
      <c r="I16" s="12">
        <v>0</v>
      </c>
      <c r="J16" s="12">
        <v>1</v>
      </c>
      <c r="K16" s="12">
        <v>1</v>
      </c>
      <c r="L16" s="12">
        <v>0</v>
      </c>
    </row>
    <row r="19" spans="9:13" x14ac:dyDescent="0.15">
      <c r="I19" s="30" t="s">
        <v>164</v>
      </c>
      <c r="J19" s="30" t="s">
        <v>168</v>
      </c>
      <c r="K19" s="30" t="s">
        <v>168</v>
      </c>
      <c r="L19" s="30" t="s">
        <v>164</v>
      </c>
      <c r="M19" s="33" t="s">
        <v>156</v>
      </c>
    </row>
    <row r="20" spans="9:13" x14ac:dyDescent="0.15">
      <c r="I20" s="30" t="s">
        <v>169</v>
      </c>
      <c r="J20" s="30" t="s">
        <v>165</v>
      </c>
      <c r="K20" s="30" t="s">
        <v>169</v>
      </c>
      <c r="L20" s="30" t="s">
        <v>165</v>
      </c>
      <c r="M20" s="33" t="s">
        <v>156</v>
      </c>
    </row>
    <row r="21" spans="9:13" x14ac:dyDescent="0.15">
      <c r="I21" s="30" t="s">
        <v>79</v>
      </c>
      <c r="J21" s="30" t="s">
        <v>79</v>
      </c>
      <c r="K21" s="30" t="s">
        <v>79</v>
      </c>
      <c r="L21" s="30" t="s">
        <v>79</v>
      </c>
      <c r="M21" s="33" t="s">
        <v>156</v>
      </c>
    </row>
    <row r="22" spans="9:13" x14ac:dyDescent="0.15">
      <c r="I22" s="30" t="s">
        <v>79</v>
      </c>
      <c r="J22" s="30" t="s">
        <v>166</v>
      </c>
      <c r="K22" s="30" t="s">
        <v>79</v>
      </c>
      <c r="L22" s="30" t="s">
        <v>79</v>
      </c>
      <c r="M22" s="33" t="s">
        <v>156</v>
      </c>
    </row>
    <row r="23" spans="9:13" x14ac:dyDescent="0.15">
      <c r="I23" s="30" t="s">
        <v>166</v>
      </c>
      <c r="J23" s="30" t="s">
        <v>166</v>
      </c>
      <c r="K23" s="30" t="s">
        <v>166</v>
      </c>
      <c r="L23" s="30" t="s">
        <v>166</v>
      </c>
      <c r="M23" s="33" t="s">
        <v>156</v>
      </c>
    </row>
    <row r="24" spans="9:13" x14ac:dyDescent="0.15">
      <c r="I24" s="30" t="s">
        <v>166</v>
      </c>
      <c r="J24" s="30" t="s">
        <v>79</v>
      </c>
      <c r="K24" s="30" t="s">
        <v>166</v>
      </c>
      <c r="L24" s="30" t="s">
        <v>79</v>
      </c>
      <c r="M24" s="33" t="s">
        <v>156</v>
      </c>
    </row>
    <row r="25" spans="9:13" x14ac:dyDescent="0.15">
      <c r="I25" s="30" t="s">
        <v>166</v>
      </c>
      <c r="J25" s="30" t="s">
        <v>166</v>
      </c>
      <c r="K25" s="30" t="s">
        <v>166</v>
      </c>
      <c r="L25" s="30" t="s">
        <v>166</v>
      </c>
      <c r="M25" s="33" t="s">
        <v>156</v>
      </c>
    </row>
    <row r="26" spans="9:13" x14ac:dyDescent="0.15">
      <c r="I26" s="30" t="s">
        <v>79</v>
      </c>
      <c r="J26" s="30" t="s">
        <v>166</v>
      </c>
      <c r="K26" s="30" t="s">
        <v>166</v>
      </c>
      <c r="L26" s="30" t="s">
        <v>166</v>
      </c>
      <c r="M26" s="33" t="s">
        <v>156</v>
      </c>
    </row>
    <row r="28" spans="9:13" x14ac:dyDescent="0.15">
      <c r="J28" s="11" t="s">
        <v>75</v>
      </c>
    </row>
  </sheetData>
  <dataConsolidate/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A2" sqref="A2"/>
    </sheetView>
  </sheetViews>
  <sheetFormatPr defaultRowHeight="13.5" x14ac:dyDescent="0.15"/>
  <cols>
    <col min="1" max="1" width="22.875" style="8" customWidth="1"/>
    <col min="2" max="2" width="50.75" style="8" customWidth="1"/>
    <col min="3" max="3" width="12.5" style="8" customWidth="1"/>
    <col min="4" max="16384" width="9" style="8"/>
  </cols>
  <sheetData>
    <row r="1" spans="1:4" x14ac:dyDescent="0.15">
      <c r="A1" s="37" t="s">
        <v>244</v>
      </c>
      <c r="B1" s="37" t="s">
        <v>26</v>
      </c>
      <c r="C1" s="37" t="s">
        <v>27</v>
      </c>
      <c r="D1" s="37" t="s">
        <v>30</v>
      </c>
    </row>
    <row r="2" spans="1:4" x14ac:dyDescent="0.15">
      <c r="A2" s="37" t="s">
        <v>37</v>
      </c>
      <c r="B2" s="37" t="s">
        <v>77</v>
      </c>
      <c r="C2" s="38" t="s">
        <v>192</v>
      </c>
      <c r="D2" s="38">
        <v>1</v>
      </c>
    </row>
    <row r="3" spans="1:4" x14ac:dyDescent="0.15">
      <c r="A3" s="37" t="s">
        <v>127</v>
      </c>
      <c r="B3" s="37" t="s">
        <v>191</v>
      </c>
      <c r="C3" s="38" t="s">
        <v>193</v>
      </c>
      <c r="D3" s="3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A2" sqref="A2"/>
    </sheetView>
  </sheetViews>
  <sheetFormatPr defaultRowHeight="13.5" x14ac:dyDescent="0.15"/>
  <sheetData>
    <row r="1" spans="1:3" x14ac:dyDescent="0.15">
      <c r="A1" s="31" t="s">
        <v>13</v>
      </c>
      <c r="B1" s="31">
        <v>0</v>
      </c>
      <c r="C1" t="s">
        <v>194</v>
      </c>
    </row>
    <row r="2" spans="1:3" x14ac:dyDescent="0.15">
      <c r="A2" s="31" t="s">
        <v>14</v>
      </c>
      <c r="B2" s="31">
        <v>0</v>
      </c>
      <c r="C2" t="s">
        <v>195</v>
      </c>
    </row>
    <row r="3" spans="1:3" x14ac:dyDescent="0.15">
      <c r="A3" s="31" t="s">
        <v>84</v>
      </c>
      <c r="B3" s="31">
        <v>0</v>
      </c>
      <c r="C3" t="s">
        <v>196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129</v>
      </c>
    </row>
    <row r="6" spans="1:3" x14ac:dyDescent="0.15">
      <c r="A6" t="s">
        <v>76</v>
      </c>
      <c r="B6">
        <v>1</v>
      </c>
      <c r="C6" t="s">
        <v>28</v>
      </c>
    </row>
    <row r="7" spans="1:3" x14ac:dyDescent="0.15">
      <c r="A7" t="s">
        <v>38</v>
      </c>
      <c r="B7">
        <v>0</v>
      </c>
      <c r="C7" t="s">
        <v>29</v>
      </c>
    </row>
    <row r="8" spans="1:3" x14ac:dyDescent="0.15">
      <c r="A8" t="s">
        <v>17</v>
      </c>
      <c r="B8">
        <v>1</v>
      </c>
      <c r="C8" t="s">
        <v>128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85" activePane="bottomLeft" state="frozen"/>
      <selection pane="bottomLeft" activeCell="E105" sqref="E105"/>
    </sheetView>
  </sheetViews>
  <sheetFormatPr defaultRowHeight="13.5" x14ac:dyDescent="0.15"/>
  <sheetData>
    <row r="1" spans="1:1" s="1" customFormat="1" ht="52.5" customHeight="1" x14ac:dyDescent="0.15">
      <c r="A1" s="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/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4" t="s">
        <v>57</v>
      </c>
      <c r="H1" s="14" t="s">
        <v>154</v>
      </c>
    </row>
    <row r="2" spans="4:8" x14ac:dyDescent="0.15">
      <c r="D2" s="15" t="s">
        <v>80</v>
      </c>
      <c r="H2" s="15" t="s">
        <v>162</v>
      </c>
    </row>
    <row r="3" spans="4:8" x14ac:dyDescent="0.15">
      <c r="D3" s="15" t="s">
        <v>58</v>
      </c>
      <c r="H3" s="15" t="s">
        <v>80</v>
      </c>
    </row>
    <row r="4" spans="4:8" x14ac:dyDescent="0.15">
      <c r="D4" s="15" t="s">
        <v>58</v>
      </c>
      <c r="H4" s="15"/>
    </row>
    <row r="5" spans="4:8" x14ac:dyDescent="0.15">
      <c r="D5" s="15"/>
      <c r="H5" s="15"/>
    </row>
    <row r="6" spans="4:8" x14ac:dyDescent="0.15">
      <c r="D6" s="15"/>
      <c r="H6" s="15"/>
    </row>
    <row r="7" spans="4:8" x14ac:dyDescent="0.15">
      <c r="D7" s="15"/>
      <c r="H7" s="15"/>
    </row>
    <row r="8" spans="4:8" x14ac:dyDescent="0.15">
      <c r="D8" s="15"/>
      <c r="H8" s="15"/>
    </row>
    <row r="9" spans="4:8" x14ac:dyDescent="0.15">
      <c r="D9" s="15"/>
      <c r="H9" s="15"/>
    </row>
    <row r="10" spans="4:8" x14ac:dyDescent="0.15">
      <c r="D10" s="15"/>
      <c r="H10" s="15"/>
    </row>
    <row r="11" spans="4:8" x14ac:dyDescent="0.15">
      <c r="D11" s="15"/>
      <c r="H11" s="15"/>
    </row>
    <row r="12" spans="4:8" x14ac:dyDescent="0.15">
      <c r="D12" s="15"/>
      <c r="H12" s="15"/>
    </row>
    <row r="13" spans="4:8" x14ac:dyDescent="0.15">
      <c r="D13" s="15"/>
      <c r="H13" s="15"/>
    </row>
    <row r="14" spans="4:8" x14ac:dyDescent="0.15">
      <c r="D14" s="15"/>
      <c r="H14" s="15"/>
    </row>
    <row r="15" spans="4:8" x14ac:dyDescent="0.15">
      <c r="D15" s="15"/>
      <c r="H15" s="15"/>
    </row>
    <row r="16" spans="4:8" x14ac:dyDescent="0.15">
      <c r="D16" s="15"/>
      <c r="H16" s="15"/>
    </row>
    <row r="17" spans="4:8" x14ac:dyDescent="0.15">
      <c r="D17" s="15"/>
      <c r="H17" s="15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/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24</v>
      </c>
      <c r="H1" s="8" t="s">
        <v>25</v>
      </c>
    </row>
    <row r="2" spans="4:8" x14ac:dyDescent="0.15">
      <c r="D2" s="9" t="s">
        <v>243</v>
      </c>
      <c r="H2" s="9" t="s">
        <v>79</v>
      </c>
    </row>
    <row r="3" spans="4:8" x14ac:dyDescent="0.15">
      <c r="D3" s="9" t="s">
        <v>56</v>
      </c>
      <c r="H3" s="9" t="s">
        <v>61</v>
      </c>
    </row>
    <row r="4" spans="4:8" x14ac:dyDescent="0.15">
      <c r="D4" s="9" t="s">
        <v>53</v>
      </c>
      <c r="H4" s="9" t="s">
        <v>65</v>
      </c>
    </row>
    <row r="5" spans="4:8" x14ac:dyDescent="0.15">
      <c r="D5" s="9" t="s">
        <v>54</v>
      </c>
      <c r="H5" s="9"/>
    </row>
    <row r="6" spans="4:8" x14ac:dyDescent="0.15">
      <c r="D6" s="9" t="s">
        <v>55</v>
      </c>
      <c r="H6" s="9"/>
    </row>
    <row r="7" spans="4:8" x14ac:dyDescent="0.15">
      <c r="D7" s="9" t="s">
        <v>83</v>
      </c>
      <c r="H7" s="9"/>
    </row>
    <row r="8" spans="4:8" x14ac:dyDescent="0.15">
      <c r="D8" s="9" t="s">
        <v>60</v>
      </c>
      <c r="H8" s="9"/>
    </row>
    <row r="9" spans="4:8" x14ac:dyDescent="0.15">
      <c r="D9" s="9" t="s">
        <v>63</v>
      </c>
      <c r="H9" s="9"/>
    </row>
    <row r="10" spans="4:8" x14ac:dyDescent="0.15">
      <c r="D10" s="9" t="s">
        <v>73</v>
      </c>
      <c r="H10" s="9"/>
    </row>
    <row r="11" spans="4:8" x14ac:dyDescent="0.15">
      <c r="D11" s="9" t="s">
        <v>90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Normal="100" workbookViewId="0"/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F3CF1-D718-4E24-8AE1-C2F91686BDCA}">
  <sheetPr codeName="Sheet10"/>
  <dimension ref="A1:J19"/>
  <sheetViews>
    <sheetView workbookViewId="0">
      <selection activeCell="J4" sqref="J4:J19"/>
    </sheetView>
  </sheetViews>
  <sheetFormatPr defaultRowHeight="13.5" x14ac:dyDescent="0.15"/>
  <cols>
    <col min="1" max="1" width="9" style="8"/>
    <col min="2" max="2" width="16.125" style="39" bestFit="1" customWidth="1"/>
    <col min="3" max="3" width="42.75" style="39" bestFit="1" customWidth="1"/>
    <col min="4" max="5" width="9" style="39"/>
    <col min="6" max="8" width="9" style="8"/>
    <col min="9" max="9" width="20.625" style="8" customWidth="1"/>
    <col min="10" max="16384" width="9" style="8"/>
  </cols>
  <sheetData>
    <row r="1" spans="1:10" x14ac:dyDescent="0.15">
      <c r="A1" s="8">
        <v>1</v>
      </c>
    </row>
    <row r="2" spans="1:10" x14ac:dyDescent="0.15">
      <c r="B2" s="41" t="s">
        <v>202</v>
      </c>
      <c r="C2" s="41"/>
      <c r="D2" s="41"/>
      <c r="E2" s="41"/>
      <c r="F2" s="41"/>
      <c r="I2" s="41" t="s">
        <v>203</v>
      </c>
      <c r="J2" s="41"/>
    </row>
    <row r="3" spans="1:10" x14ac:dyDescent="0.15">
      <c r="B3" s="39" t="s">
        <v>201</v>
      </c>
      <c r="C3" s="39" t="s">
        <v>198</v>
      </c>
      <c r="D3" s="39" t="s">
        <v>199</v>
      </c>
      <c r="E3" s="39" t="s">
        <v>200</v>
      </c>
      <c r="F3" s="8" t="s">
        <v>213</v>
      </c>
      <c r="I3" s="8" t="s">
        <v>201</v>
      </c>
      <c r="J3" s="8" t="s">
        <v>213</v>
      </c>
    </row>
    <row r="4" spans="1:10" x14ac:dyDescent="0.15">
      <c r="B4" s="39" t="s">
        <v>226</v>
      </c>
      <c r="C4" s="39" t="s">
        <v>227</v>
      </c>
      <c r="D4" s="39">
        <v>4</v>
      </c>
      <c r="E4" s="39">
        <v>2</v>
      </c>
      <c r="F4" s="8" t="s">
        <v>241</v>
      </c>
      <c r="I4" s="8" t="s">
        <v>44</v>
      </c>
      <c r="J4" s="8" t="s">
        <v>49</v>
      </c>
    </row>
    <row r="5" spans="1:10" x14ac:dyDescent="0.15">
      <c r="B5" s="39" t="s">
        <v>228</v>
      </c>
      <c r="C5" s="39" t="s">
        <v>229</v>
      </c>
      <c r="D5" s="39">
        <v>1</v>
      </c>
      <c r="E5" s="39">
        <v>9</v>
      </c>
      <c r="F5" s="8" t="s">
        <v>241</v>
      </c>
      <c r="I5" s="8" t="s">
        <v>204</v>
      </c>
      <c r="J5" s="8" t="s">
        <v>49</v>
      </c>
    </row>
    <row r="6" spans="1:10" x14ac:dyDescent="0.15">
      <c r="B6" s="39" t="s">
        <v>230</v>
      </c>
      <c r="C6" s="39" t="s">
        <v>231</v>
      </c>
      <c r="D6" s="39">
        <v>2</v>
      </c>
      <c r="E6" s="39">
        <v>0</v>
      </c>
      <c r="F6" s="8" t="s">
        <v>241</v>
      </c>
      <c r="I6" s="8" t="s">
        <v>205</v>
      </c>
      <c r="J6" s="8" t="s">
        <v>49</v>
      </c>
    </row>
    <row r="7" spans="1:10" x14ac:dyDescent="0.15">
      <c r="B7" s="39" t="s">
        <v>232</v>
      </c>
      <c r="C7" s="39" t="s">
        <v>233</v>
      </c>
      <c r="D7" s="39">
        <v>2</v>
      </c>
      <c r="E7" s="39">
        <v>8</v>
      </c>
      <c r="F7" s="8" t="s">
        <v>241</v>
      </c>
      <c r="I7" s="8" t="s">
        <v>206</v>
      </c>
      <c r="J7" s="8" t="s">
        <v>49</v>
      </c>
    </row>
    <row r="8" spans="1:10" x14ac:dyDescent="0.15">
      <c r="B8" s="39" t="s">
        <v>234</v>
      </c>
      <c r="C8" s="39" t="s">
        <v>235</v>
      </c>
      <c r="D8" s="39">
        <v>5</v>
      </c>
      <c r="E8" s="39">
        <v>3</v>
      </c>
      <c r="F8" s="8" t="s">
        <v>241</v>
      </c>
      <c r="I8" s="8" t="s">
        <v>207</v>
      </c>
      <c r="J8" s="8" t="s">
        <v>49</v>
      </c>
    </row>
    <row r="9" spans="1:10" x14ac:dyDescent="0.15">
      <c r="B9" s="39" t="s">
        <v>236</v>
      </c>
      <c r="C9" s="39" t="s">
        <v>237</v>
      </c>
      <c r="D9" s="39">
        <v>2</v>
      </c>
      <c r="E9" s="39">
        <v>0</v>
      </c>
      <c r="F9" s="8" t="s">
        <v>241</v>
      </c>
      <c r="I9" s="8" t="s">
        <v>208</v>
      </c>
      <c r="J9" s="8" t="s">
        <v>49</v>
      </c>
    </row>
    <row r="10" spans="1:10" x14ac:dyDescent="0.15">
      <c r="B10" s="39" t="s">
        <v>238</v>
      </c>
      <c r="C10" s="39" t="s">
        <v>239</v>
      </c>
      <c r="D10" s="39">
        <v>6</v>
      </c>
      <c r="E10" s="39">
        <v>0</v>
      </c>
      <c r="F10" s="8" t="s">
        <v>241</v>
      </c>
      <c r="I10" s="8" t="s">
        <v>89</v>
      </c>
      <c r="J10" s="8" t="s">
        <v>49</v>
      </c>
    </row>
    <row r="11" spans="1:10" x14ac:dyDescent="0.15">
      <c r="I11" s="8" t="s">
        <v>209</v>
      </c>
      <c r="J11" s="8" t="s">
        <v>49</v>
      </c>
    </row>
    <row r="12" spans="1:10" x14ac:dyDescent="0.15">
      <c r="I12" s="8" t="s">
        <v>210</v>
      </c>
      <c r="J12" s="8" t="s">
        <v>49</v>
      </c>
    </row>
    <row r="13" spans="1:10" x14ac:dyDescent="0.15">
      <c r="I13" s="8" t="s">
        <v>3</v>
      </c>
      <c r="J13" s="8" t="s">
        <v>49</v>
      </c>
    </row>
    <row r="14" spans="1:10" x14ac:dyDescent="0.15">
      <c r="I14" s="8" t="s">
        <v>4</v>
      </c>
      <c r="J14" s="8" t="s">
        <v>49</v>
      </c>
    </row>
    <row r="15" spans="1:10" x14ac:dyDescent="0.15">
      <c r="I15" s="8" t="s">
        <v>10</v>
      </c>
      <c r="J15" s="8" t="s">
        <v>49</v>
      </c>
    </row>
    <row r="16" spans="1:10" x14ac:dyDescent="0.15">
      <c r="I16" s="8" t="s">
        <v>12</v>
      </c>
      <c r="J16" s="8" t="s">
        <v>49</v>
      </c>
    </row>
    <row r="17" spans="9:10" x14ac:dyDescent="0.15">
      <c r="I17" s="8" t="s">
        <v>23</v>
      </c>
      <c r="J17" s="8" t="s">
        <v>49</v>
      </c>
    </row>
    <row r="18" spans="9:10" x14ac:dyDescent="0.15">
      <c r="I18" s="8" t="s">
        <v>211</v>
      </c>
      <c r="J18" s="8" t="s">
        <v>49</v>
      </c>
    </row>
    <row r="19" spans="9:10" x14ac:dyDescent="0.15">
      <c r="I19" s="8" t="s">
        <v>212</v>
      </c>
      <c r="J19" s="8" t="s">
        <v>49</v>
      </c>
    </row>
  </sheetData>
  <mergeCells count="2">
    <mergeCell ref="B2:F2"/>
    <mergeCell ref="I2:J2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workbookViewId="0">
      <selection activeCell="A2" sqref="A2"/>
    </sheetView>
  </sheetViews>
  <sheetFormatPr defaultRowHeight="13.5" x14ac:dyDescent="0.15"/>
  <cols>
    <col min="2" max="3" width="31.5" customWidth="1"/>
  </cols>
  <sheetData>
    <row r="1" spans="1:3" ht="46.5" customHeight="1" x14ac:dyDescent="0.15">
      <c r="A1" t="s">
        <v>245</v>
      </c>
      <c r="B1" t="s">
        <v>123</v>
      </c>
      <c r="C1" t="s">
        <v>46</v>
      </c>
    </row>
    <row r="2" spans="1:3" x14ac:dyDescent="0.15">
      <c r="A2">
        <v>1</v>
      </c>
      <c r="B2" t="s">
        <v>124</v>
      </c>
      <c r="C2" s="29" t="s">
        <v>152</v>
      </c>
    </row>
    <row r="3" spans="1:3" x14ac:dyDescent="0.15">
      <c r="C3" s="29"/>
    </row>
    <row r="4" spans="1:3" x14ac:dyDescent="0.15">
      <c r="C4" s="29"/>
    </row>
    <row r="5" spans="1:3" x14ac:dyDescent="0.15">
      <c r="C5" s="29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workbookViewId="0"/>
  </sheetViews>
  <sheetFormatPr defaultRowHeight="13.5" x14ac:dyDescent="0.15"/>
  <cols>
    <col min="6" max="6" width="13.25" customWidth="1"/>
  </cols>
  <sheetData>
    <row r="1" spans="1:12" x14ac:dyDescent="0.15">
      <c r="A1" t="s">
        <v>245</v>
      </c>
      <c r="B1" t="s">
        <v>115</v>
      </c>
      <c r="C1" t="s">
        <v>49</v>
      </c>
      <c r="D1" t="s">
        <v>116</v>
      </c>
      <c r="E1" t="s">
        <v>117</v>
      </c>
      <c r="F1" t="s">
        <v>119</v>
      </c>
      <c r="G1" t="s">
        <v>118</v>
      </c>
      <c r="K1" t="s">
        <v>122</v>
      </c>
      <c r="L1">
        <v>5</v>
      </c>
    </row>
    <row r="2" spans="1:12" x14ac:dyDescent="0.15">
      <c r="A2">
        <v>1</v>
      </c>
      <c r="B2">
        <v>380</v>
      </c>
      <c r="C2" s="31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1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1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K70"/>
  <sheetViews>
    <sheetView topLeftCell="A4" zoomScale="85" zoomScaleNormal="85" workbookViewId="0">
      <selection activeCell="A4" sqref="A4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1:11" hidden="1" x14ac:dyDescent="0.15">
      <c r="A1">
        <v>1</v>
      </c>
    </row>
    <row r="2" spans="1:11" hidden="1" x14ac:dyDescent="0.15"/>
    <row r="3" spans="1:11" hidden="1" x14ac:dyDescent="0.15"/>
    <row r="4" spans="1:11" s="13" customFormat="1" ht="69" customHeight="1" x14ac:dyDescent="0.15">
      <c r="C4" s="20"/>
      <c r="D4" s="21" t="s">
        <v>92</v>
      </c>
      <c r="E4" s="22" t="s">
        <v>95</v>
      </c>
      <c r="F4" s="22" t="s">
        <v>125</v>
      </c>
      <c r="G4" s="32">
        <v>76</v>
      </c>
      <c r="H4" s="21"/>
      <c r="I4" s="21" t="s">
        <v>92</v>
      </c>
      <c r="J4" s="23" t="s">
        <v>93</v>
      </c>
      <c r="K4" s="22" t="s">
        <v>96</v>
      </c>
    </row>
    <row r="5" spans="1:11" s="8" customFormat="1" ht="16.5" x14ac:dyDescent="0.15">
      <c r="C5" s="24" t="s">
        <v>94</v>
      </c>
      <c r="D5" s="25"/>
      <c r="E5" s="27"/>
      <c r="F5" s="26"/>
      <c r="G5" s="26"/>
      <c r="H5" s="24" t="s">
        <v>121</v>
      </c>
      <c r="I5" s="25"/>
      <c r="J5" s="28"/>
      <c r="K5" s="27"/>
    </row>
    <row r="6" spans="1:11" s="8" customFormat="1" ht="16.5" x14ac:dyDescent="0.15">
      <c r="C6" s="26"/>
      <c r="D6" s="25"/>
      <c r="E6" s="27"/>
      <c r="F6" s="26"/>
      <c r="G6" s="26"/>
      <c r="H6" s="26"/>
      <c r="I6" s="25"/>
      <c r="J6" s="28"/>
      <c r="K6" s="27"/>
    </row>
    <row r="7" spans="1:11" s="8" customFormat="1" ht="16.5" x14ac:dyDescent="0.15">
      <c r="D7" s="25"/>
      <c r="E7" s="27"/>
      <c r="I7" s="25"/>
      <c r="J7" s="28"/>
      <c r="K7" s="27"/>
    </row>
    <row r="8" spans="1:11" s="8" customFormat="1" ht="16.5" x14ac:dyDescent="0.15">
      <c r="D8" s="25"/>
      <c r="E8" s="27"/>
      <c r="I8" s="25"/>
      <c r="J8" s="28"/>
      <c r="K8" s="27"/>
    </row>
    <row r="9" spans="1:11" s="8" customFormat="1" ht="16.5" x14ac:dyDescent="0.15">
      <c r="D9" s="25"/>
      <c r="E9" s="27"/>
      <c r="I9" s="25"/>
      <c r="J9" s="28"/>
      <c r="K9" s="27"/>
    </row>
    <row r="10" spans="1:11" s="8" customFormat="1" ht="16.5" x14ac:dyDescent="0.15">
      <c r="D10" s="25"/>
      <c r="E10" s="27"/>
      <c r="I10" s="25"/>
      <c r="J10" s="28"/>
      <c r="K10" s="27"/>
    </row>
    <row r="11" spans="1:11" s="8" customFormat="1" ht="16.5" x14ac:dyDescent="0.15">
      <c r="D11" s="25"/>
      <c r="E11" s="27"/>
      <c r="I11" s="25"/>
      <c r="J11" s="28"/>
      <c r="K11" s="27"/>
    </row>
    <row r="12" spans="1:11" s="8" customFormat="1" ht="16.5" x14ac:dyDescent="0.15">
      <c r="D12" s="25"/>
      <c r="E12" s="27"/>
      <c r="G12" s="8" t="s">
        <v>126</v>
      </c>
      <c r="I12" s="25"/>
      <c r="J12" s="28"/>
      <c r="K12" s="27"/>
    </row>
    <row r="13" spans="1:11" s="8" customFormat="1" ht="16.5" x14ac:dyDescent="0.15">
      <c r="D13" s="25"/>
      <c r="E13" s="27"/>
      <c r="I13" s="25"/>
      <c r="J13" s="28"/>
      <c r="K13" s="27"/>
    </row>
    <row r="14" spans="1:11" s="8" customFormat="1" ht="16.5" x14ac:dyDescent="0.15">
      <c r="D14" s="25"/>
      <c r="E14" s="27"/>
      <c r="I14" s="25"/>
      <c r="J14" s="28"/>
      <c r="K14" s="27"/>
    </row>
    <row r="15" spans="1:11" s="8" customFormat="1" ht="16.5" x14ac:dyDescent="0.15">
      <c r="D15" s="25"/>
      <c r="E15" s="27"/>
      <c r="I15" s="25"/>
      <c r="J15" s="28"/>
      <c r="K15" s="27"/>
    </row>
    <row r="16" spans="1:11" s="8" customFormat="1" ht="16.5" x14ac:dyDescent="0.15">
      <c r="D16" s="25"/>
      <c r="E16" s="27"/>
      <c r="I16" s="25"/>
      <c r="J16" s="28"/>
      <c r="K16" s="27"/>
    </row>
    <row r="17" spans="4:11" s="8" customFormat="1" ht="16.5" x14ac:dyDescent="0.15">
      <c r="D17" s="25"/>
      <c r="E17" s="27"/>
      <c r="I17" s="25"/>
      <c r="J17" s="28"/>
      <c r="K17" s="27"/>
    </row>
    <row r="18" spans="4:11" s="8" customFormat="1" ht="16.5" x14ac:dyDescent="0.15">
      <c r="D18" s="25"/>
      <c r="E18" s="27"/>
      <c r="I18" s="25"/>
      <c r="J18" s="28"/>
      <c r="K18" s="27"/>
    </row>
    <row r="19" spans="4:11" s="8" customFormat="1" ht="16.5" x14ac:dyDescent="0.15">
      <c r="D19" s="25"/>
      <c r="E19" s="27"/>
      <c r="I19" s="25"/>
      <c r="J19" s="28"/>
      <c r="K19" s="27"/>
    </row>
    <row r="20" spans="4:11" s="8" customFormat="1" ht="16.5" x14ac:dyDescent="0.15">
      <c r="D20" s="25"/>
      <c r="E20" s="27"/>
      <c r="I20" s="25"/>
      <c r="J20" s="28"/>
      <c r="K20" s="27"/>
    </row>
    <row r="21" spans="4:11" s="8" customFormat="1" ht="16.5" x14ac:dyDescent="0.15">
      <c r="D21" s="25"/>
      <c r="E21" s="27"/>
      <c r="I21" s="25"/>
      <c r="J21" s="28"/>
      <c r="K21" s="27"/>
    </row>
    <row r="22" spans="4:11" s="8" customFormat="1" ht="16.5" x14ac:dyDescent="0.15">
      <c r="D22" s="25"/>
      <c r="E22" s="27"/>
      <c r="I22" s="25"/>
      <c r="J22" s="28"/>
      <c r="K22" s="27"/>
    </row>
    <row r="23" spans="4:11" s="8" customFormat="1" ht="16.5" x14ac:dyDescent="0.15">
      <c r="D23" s="25"/>
      <c r="E23" s="27"/>
      <c r="I23" s="25"/>
      <c r="J23" s="28"/>
      <c r="K23" s="27"/>
    </row>
    <row r="24" spans="4:11" s="8" customFormat="1" ht="16.5" x14ac:dyDescent="0.15">
      <c r="D24" s="25"/>
      <c r="E24" s="27"/>
      <c r="I24" s="25"/>
      <c r="J24" s="28"/>
      <c r="K24" s="27"/>
    </row>
    <row r="25" spans="4:11" s="8" customFormat="1" ht="16.5" x14ac:dyDescent="0.15">
      <c r="D25" s="25"/>
      <c r="E25" s="27"/>
      <c r="I25" s="25"/>
      <c r="J25" s="28"/>
      <c r="K25" s="27"/>
    </row>
    <row r="26" spans="4:11" s="8" customFormat="1" ht="16.5" x14ac:dyDescent="0.15">
      <c r="D26" s="25"/>
      <c r="E26" s="27"/>
      <c r="I26" s="25"/>
      <c r="J26" s="28"/>
      <c r="K26" s="27"/>
    </row>
    <row r="27" spans="4:11" s="8" customFormat="1" ht="16.5" x14ac:dyDescent="0.15">
      <c r="D27" s="25"/>
      <c r="E27" s="27"/>
      <c r="I27" s="25"/>
      <c r="J27" s="28"/>
      <c r="K27" s="27"/>
    </row>
    <row r="28" spans="4:11" s="8" customFormat="1" ht="16.5" x14ac:dyDescent="0.15">
      <c r="D28" s="25"/>
      <c r="E28" s="27"/>
      <c r="I28" s="25"/>
      <c r="J28" s="28"/>
      <c r="K28" s="27"/>
    </row>
    <row r="29" spans="4:11" s="8" customFormat="1" ht="16.5" x14ac:dyDescent="0.15">
      <c r="D29" s="25"/>
      <c r="E29" s="27"/>
      <c r="I29" s="25"/>
      <c r="J29" s="28"/>
      <c r="K29" s="27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tabSelected="1" zoomScale="115" zoomScaleNormal="115" workbookViewId="0">
      <selection activeCell="C6" sqref="C6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120</v>
      </c>
    </row>
    <row r="3" spans="3:3" ht="41.25" customHeight="1" x14ac:dyDescent="0.15"/>
    <row r="4" spans="3:3" ht="41.25" customHeight="1" x14ac:dyDescent="0.15">
      <c r="C4" t="s">
        <v>174</v>
      </c>
    </row>
    <row r="5" spans="3:3" ht="41.25" customHeight="1" x14ac:dyDescent="0.15"/>
    <row r="6" spans="3:3" ht="41.25" customHeight="1" x14ac:dyDescent="0.15">
      <c r="C6" t="s">
        <v>242</v>
      </c>
    </row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s_OpenFatherFolder">
                <anchor moveWithCells="1" sizeWithCells="1">
                  <from>
                    <xdr:col>2</xdr:col>
                    <xdr:colOff>6191250</xdr:colOff>
                    <xdr:row>2</xdr:row>
                    <xdr:rowOff>514350</xdr:rowOff>
                  </from>
                  <to>
                    <xdr:col>3</xdr:col>
                    <xdr:colOff>1819275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s_ExportSettings">
                <anchor moveWithCells="1" sizeWithCells="1">
                  <from>
                    <xdr:col>2</xdr:col>
                    <xdr:colOff>6181725</xdr:colOff>
                    <xdr:row>4</xdr:row>
                    <xdr:rowOff>514350</xdr:rowOff>
                  </from>
                  <to>
                    <xdr:col>3</xdr:col>
                    <xdr:colOff>1809750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37"/>
  <sheetViews>
    <sheetView workbookViewId="0"/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245</v>
      </c>
      <c r="B1" t="s">
        <v>78</v>
      </c>
      <c r="C1" t="s">
        <v>46</v>
      </c>
    </row>
    <row r="2" spans="1:3" x14ac:dyDescent="0.15">
      <c r="A2">
        <v>1</v>
      </c>
      <c r="B2" t="s">
        <v>157</v>
      </c>
      <c r="C2" s="29" t="s">
        <v>131</v>
      </c>
    </row>
    <row r="3" spans="1:3" x14ac:dyDescent="0.15">
      <c r="A3">
        <v>2</v>
      </c>
      <c r="B3" t="s">
        <v>159</v>
      </c>
      <c r="C3" s="29" t="s">
        <v>132</v>
      </c>
    </row>
    <row r="4" spans="1:3" x14ac:dyDescent="0.15">
      <c r="A4">
        <v>3</v>
      </c>
      <c r="B4" t="s">
        <v>97</v>
      </c>
      <c r="C4" s="29" t="s">
        <v>133</v>
      </c>
    </row>
    <row r="5" spans="1:3" x14ac:dyDescent="0.15">
      <c r="A5">
        <v>4</v>
      </c>
      <c r="B5" t="s">
        <v>98</v>
      </c>
      <c r="C5" s="29" t="s">
        <v>134</v>
      </c>
    </row>
    <row r="6" spans="1:3" x14ac:dyDescent="0.15">
      <c r="A6">
        <v>5</v>
      </c>
      <c r="B6" t="s">
        <v>99</v>
      </c>
      <c r="C6" s="29" t="s">
        <v>135</v>
      </c>
    </row>
    <row r="7" spans="1:3" x14ac:dyDescent="0.15">
      <c r="A7">
        <v>6</v>
      </c>
      <c r="B7" t="s">
        <v>100</v>
      </c>
      <c r="C7" s="29" t="s">
        <v>136</v>
      </c>
    </row>
    <row r="8" spans="1:3" x14ac:dyDescent="0.15">
      <c r="A8">
        <v>7</v>
      </c>
      <c r="B8" t="s">
        <v>101</v>
      </c>
      <c r="C8" s="29" t="s">
        <v>137</v>
      </c>
    </row>
    <row r="9" spans="1:3" x14ac:dyDescent="0.15">
      <c r="A9">
        <v>8</v>
      </c>
      <c r="B9" t="s">
        <v>102</v>
      </c>
      <c r="C9" s="29" t="s">
        <v>138</v>
      </c>
    </row>
    <row r="10" spans="1:3" x14ac:dyDescent="0.15">
      <c r="A10">
        <v>9</v>
      </c>
      <c r="B10" t="s">
        <v>103</v>
      </c>
      <c r="C10" s="29" t="s">
        <v>139</v>
      </c>
    </row>
    <row r="11" spans="1:3" x14ac:dyDescent="0.15">
      <c r="A11">
        <v>10</v>
      </c>
      <c r="B11" t="s">
        <v>104</v>
      </c>
      <c r="C11" s="29" t="s">
        <v>140</v>
      </c>
    </row>
    <row r="12" spans="1:3" x14ac:dyDescent="0.15">
      <c r="A12">
        <v>11</v>
      </c>
      <c r="B12" t="s">
        <v>105</v>
      </c>
      <c r="C12" s="29" t="s">
        <v>141</v>
      </c>
    </row>
    <row r="13" spans="1:3" x14ac:dyDescent="0.15">
      <c r="A13">
        <v>12</v>
      </c>
      <c r="B13" t="s">
        <v>106</v>
      </c>
      <c r="C13" s="29" t="s">
        <v>142</v>
      </c>
    </row>
    <row r="14" spans="1:3" x14ac:dyDescent="0.15">
      <c r="A14">
        <v>13</v>
      </c>
      <c r="B14" t="s">
        <v>107</v>
      </c>
      <c r="C14" s="29" t="s">
        <v>143</v>
      </c>
    </row>
    <row r="15" spans="1:3" x14ac:dyDescent="0.15">
      <c r="A15">
        <v>14</v>
      </c>
      <c r="B15" t="s">
        <v>108</v>
      </c>
      <c r="C15" s="29" t="s">
        <v>144</v>
      </c>
    </row>
    <row r="16" spans="1:3" x14ac:dyDescent="0.15">
      <c r="A16">
        <v>15</v>
      </c>
      <c r="B16" t="s">
        <v>173</v>
      </c>
      <c r="C16" s="29" t="s">
        <v>145</v>
      </c>
    </row>
    <row r="17" spans="1:3" x14ac:dyDescent="0.15">
      <c r="A17">
        <v>16</v>
      </c>
      <c r="B17" t="s">
        <v>109</v>
      </c>
      <c r="C17" s="29" t="s">
        <v>146</v>
      </c>
    </row>
    <row r="18" spans="1:3" x14ac:dyDescent="0.15">
      <c r="A18">
        <v>17</v>
      </c>
      <c r="B18" t="s">
        <v>110</v>
      </c>
      <c r="C18" s="29" t="s">
        <v>147</v>
      </c>
    </row>
    <row r="19" spans="1:3" x14ac:dyDescent="0.15">
      <c r="A19">
        <v>18</v>
      </c>
      <c r="B19" t="s">
        <v>111</v>
      </c>
      <c r="C19" s="29" t="s">
        <v>148</v>
      </c>
    </row>
    <row r="20" spans="1:3" x14ac:dyDescent="0.15">
      <c r="A20">
        <v>19</v>
      </c>
      <c r="B20" t="s">
        <v>112</v>
      </c>
      <c r="C20" s="29" t="s">
        <v>149</v>
      </c>
    </row>
    <row r="21" spans="1:3" x14ac:dyDescent="0.15">
      <c r="A21">
        <v>20</v>
      </c>
      <c r="B21" t="s">
        <v>113</v>
      </c>
      <c r="C21" s="29" t="s">
        <v>150</v>
      </c>
    </row>
    <row r="22" spans="1:3" x14ac:dyDescent="0.15">
      <c r="A22">
        <v>21</v>
      </c>
      <c r="B22" t="s">
        <v>114</v>
      </c>
      <c r="C22" s="29" t="s">
        <v>151</v>
      </c>
    </row>
    <row r="23" spans="1:3" x14ac:dyDescent="0.15">
      <c r="A23">
        <v>22</v>
      </c>
      <c r="B23" t="s">
        <v>160</v>
      </c>
      <c r="C23" s="29" t="s">
        <v>161</v>
      </c>
    </row>
    <row r="24" spans="1:3" x14ac:dyDescent="0.15">
      <c r="A24">
        <v>23</v>
      </c>
      <c r="B24" t="s">
        <v>214</v>
      </c>
      <c r="C24" s="29" t="s">
        <v>215</v>
      </c>
    </row>
    <row r="25" spans="1:3" x14ac:dyDescent="0.15">
      <c r="C25" s="29"/>
    </row>
    <row r="26" spans="1:3" x14ac:dyDescent="0.15">
      <c r="C26" s="29"/>
    </row>
    <row r="27" spans="1:3" x14ac:dyDescent="0.15">
      <c r="C27" s="29"/>
    </row>
    <row r="28" spans="1:3" x14ac:dyDescent="0.15">
      <c r="C28" s="29"/>
    </row>
    <row r="29" spans="1:3" x14ac:dyDescent="0.15">
      <c r="C29" s="29"/>
    </row>
    <row r="30" spans="1:3" x14ac:dyDescent="0.15">
      <c r="C30" s="29"/>
    </row>
    <row r="31" spans="1:3" x14ac:dyDescent="0.15">
      <c r="C31" s="29"/>
    </row>
    <row r="32" spans="1:3" x14ac:dyDescent="0.15">
      <c r="C32" s="29"/>
    </row>
    <row r="33" spans="3:3" x14ac:dyDescent="0.15">
      <c r="C33" s="29"/>
    </row>
    <row r="34" spans="3:3" x14ac:dyDescent="0.15">
      <c r="C34" s="29"/>
    </row>
    <row r="35" spans="3:3" x14ac:dyDescent="0.15">
      <c r="C35" s="29"/>
    </row>
    <row r="36" spans="3:3" x14ac:dyDescent="0.15">
      <c r="C36" s="29"/>
    </row>
    <row r="37" spans="3:3" x14ac:dyDescent="0.15">
      <c r="C37" s="2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H101"/>
  <sheetViews>
    <sheetView topLeftCell="E8" zoomScaleNormal="100" workbookViewId="0">
      <selection activeCell="G100" sqref="G100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1:8" hidden="1" x14ac:dyDescent="0.15">
      <c r="A1" s="1">
        <v>1</v>
      </c>
    </row>
    <row r="2" spans="1:8" hidden="1" x14ac:dyDescent="0.15"/>
    <row r="3" spans="1:8" hidden="1" x14ac:dyDescent="0.15"/>
    <row r="4" spans="1:8" hidden="1" x14ac:dyDescent="0.15"/>
    <row r="5" spans="1:8" hidden="1" x14ac:dyDescent="0.15"/>
    <row r="6" spans="1:8" hidden="1" x14ac:dyDescent="0.15"/>
    <row r="7" spans="1:8" hidden="1" x14ac:dyDescent="0.15"/>
    <row r="9" spans="1:8" ht="16.5" x14ac:dyDescent="0.15">
      <c r="F9" s="5" t="s">
        <v>45</v>
      </c>
      <c r="G9" s="4" t="s">
        <v>222</v>
      </c>
    </row>
    <row r="11" spans="1:8" ht="16.5" x14ac:dyDescent="0.15">
      <c r="F11" s="5" t="s">
        <v>1</v>
      </c>
      <c r="G11" s="4" t="s">
        <v>223</v>
      </c>
    </row>
    <row r="12" spans="1:8" x14ac:dyDescent="0.15">
      <c r="F12" s="6"/>
      <c r="G12" s="2"/>
    </row>
    <row r="13" spans="1:8" ht="16.5" x14ac:dyDescent="0.15">
      <c r="F13" s="5" t="s">
        <v>39</v>
      </c>
      <c r="G13" s="4" t="s">
        <v>49</v>
      </c>
      <c r="H13" s="3" t="s">
        <v>0</v>
      </c>
    </row>
    <row r="14" spans="1:8" x14ac:dyDescent="0.15">
      <c r="F14" s="6"/>
      <c r="G14" s="2"/>
    </row>
    <row r="15" spans="1:8" ht="16.5" x14ac:dyDescent="0.15">
      <c r="F15" s="5" t="s">
        <v>40</v>
      </c>
      <c r="G15" s="4" t="s">
        <v>49</v>
      </c>
      <c r="H15" s="3" t="s">
        <v>0</v>
      </c>
    </row>
    <row r="16" spans="1:8" x14ac:dyDescent="0.15">
      <c r="F16" s="6"/>
      <c r="G16" s="2"/>
    </row>
    <row r="17" spans="6:8" ht="16.5" x14ac:dyDescent="0.15">
      <c r="F17" s="5" t="s">
        <v>7</v>
      </c>
      <c r="G17" s="4" t="s">
        <v>33</v>
      </c>
    </row>
    <row r="18" spans="6:8" x14ac:dyDescent="0.15">
      <c r="F18" s="6"/>
      <c r="G18" s="2"/>
    </row>
    <row r="19" spans="6:8" ht="16.5" x14ac:dyDescent="0.15">
      <c r="F19" s="5" t="s">
        <v>34</v>
      </c>
      <c r="G19" s="4" t="s">
        <v>32</v>
      </c>
    </row>
    <row r="20" spans="6:8" x14ac:dyDescent="0.15">
      <c r="F20" s="6"/>
      <c r="G20" s="2"/>
    </row>
    <row r="21" spans="6:8" ht="16.5" x14ac:dyDescent="0.15">
      <c r="F21" s="5" t="s">
        <v>52</v>
      </c>
      <c r="G21" s="4">
        <v>50</v>
      </c>
    </row>
    <row r="22" spans="6:8" x14ac:dyDescent="0.15">
      <c r="F22" s="6"/>
    </row>
    <row r="23" spans="6:8" ht="16.5" x14ac:dyDescent="0.15">
      <c r="F23" s="5" t="s">
        <v>20</v>
      </c>
      <c r="G23" s="4">
        <v>2</v>
      </c>
      <c r="H23" s="10" t="s">
        <v>22</v>
      </c>
    </row>
    <row r="24" spans="6:8" x14ac:dyDescent="0.15">
      <c r="F24" s="6"/>
    </row>
    <row r="25" spans="6:8" ht="16.5" x14ac:dyDescent="0.15">
      <c r="F25" s="5" t="s">
        <v>31</v>
      </c>
      <c r="G25" s="4" t="s">
        <v>44</v>
      </c>
    </row>
    <row r="26" spans="6:8" x14ac:dyDescent="0.15">
      <c r="F26" s="6"/>
    </row>
    <row r="27" spans="6:8" ht="16.5" x14ac:dyDescent="0.15">
      <c r="F27" s="5" t="s">
        <v>36</v>
      </c>
      <c r="G27" s="4" t="s">
        <v>35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51</v>
      </c>
      <c r="G37" s="4">
        <v>7</v>
      </c>
    </row>
    <row r="38" spans="6:8" x14ac:dyDescent="0.15">
      <c r="F38" s="6"/>
    </row>
    <row r="39" spans="6:8" ht="16.5" x14ac:dyDescent="0.15">
      <c r="F39" s="5" t="s">
        <v>66</v>
      </c>
      <c r="G39" s="4">
        <v>7</v>
      </c>
    </row>
    <row r="40" spans="6:8" x14ac:dyDescent="0.15">
      <c r="F40" s="6"/>
    </row>
    <row r="41" spans="6:8" ht="16.5" x14ac:dyDescent="0.15">
      <c r="F41" s="5" t="s">
        <v>71</v>
      </c>
      <c r="G41" s="4" t="s">
        <v>153</v>
      </c>
      <c r="H41" s="3" t="s">
        <v>0</v>
      </c>
    </row>
    <row r="42" spans="6:8" x14ac:dyDescent="0.15">
      <c r="F42" s="6"/>
    </row>
    <row r="43" spans="6:8" ht="16.5" x14ac:dyDescent="0.15">
      <c r="F43" s="5" t="s">
        <v>72</v>
      </c>
      <c r="G43" s="4" t="s">
        <v>49</v>
      </c>
      <c r="H43" s="3" t="s">
        <v>0</v>
      </c>
    </row>
    <row r="44" spans="6:8" x14ac:dyDescent="0.15">
      <c r="F44" s="6"/>
    </row>
    <row r="45" spans="6:8" ht="16.5" x14ac:dyDescent="0.15">
      <c r="F45" s="5" t="s">
        <v>68</v>
      </c>
      <c r="G45" s="4">
        <v>9</v>
      </c>
    </row>
    <row r="46" spans="6:8" x14ac:dyDescent="0.15">
      <c r="F46" s="6"/>
    </row>
    <row r="47" spans="6:8" ht="16.5" x14ac:dyDescent="0.15">
      <c r="F47" s="5" t="s">
        <v>67</v>
      </c>
      <c r="G47" s="4">
        <v>10</v>
      </c>
    </row>
    <row r="48" spans="6:8" x14ac:dyDescent="0.15">
      <c r="F48" s="6"/>
    </row>
    <row r="49" spans="6:7" ht="16.5" x14ac:dyDescent="0.15">
      <c r="F49" s="5" t="s">
        <v>69</v>
      </c>
      <c r="G49" s="4">
        <v>11</v>
      </c>
    </row>
    <row r="50" spans="6:7" x14ac:dyDescent="0.15">
      <c r="F50" s="6"/>
    </row>
    <row r="51" spans="6:7" ht="16.5" x14ac:dyDescent="0.15">
      <c r="F51" s="5" t="s">
        <v>70</v>
      </c>
      <c r="G51" s="4">
        <v>12</v>
      </c>
    </row>
    <row r="52" spans="6:7" x14ac:dyDescent="0.15">
      <c r="F52" s="6"/>
    </row>
    <row r="53" spans="6:7" ht="16.5" x14ac:dyDescent="0.15">
      <c r="F53" s="5" t="s">
        <v>42</v>
      </c>
      <c r="G53" s="4">
        <v>15</v>
      </c>
    </row>
    <row r="54" spans="6:7" x14ac:dyDescent="0.15">
      <c r="F54" s="6"/>
    </row>
    <row r="55" spans="6:7" ht="16.5" x14ac:dyDescent="0.15">
      <c r="F55" s="5" t="s">
        <v>43</v>
      </c>
      <c r="G55" s="4">
        <v>9</v>
      </c>
    </row>
    <row r="56" spans="6:7" x14ac:dyDescent="0.15">
      <c r="F56" s="6"/>
    </row>
    <row r="57" spans="6:7" ht="16.5" x14ac:dyDescent="0.15">
      <c r="F57" s="5" t="s">
        <v>21</v>
      </c>
      <c r="G57" s="4">
        <v>2</v>
      </c>
    </row>
    <row r="58" spans="6:7" x14ac:dyDescent="0.15">
      <c r="F58" s="6"/>
    </row>
    <row r="59" spans="6:7" ht="16.5" x14ac:dyDescent="0.15">
      <c r="F59" s="5" t="s">
        <v>41</v>
      </c>
      <c r="G59" s="4">
        <v>4</v>
      </c>
    </row>
    <row r="60" spans="6:7" x14ac:dyDescent="0.15">
      <c r="F60" s="6"/>
    </row>
    <row r="61" spans="6:7" ht="16.5" x14ac:dyDescent="0.15">
      <c r="F61" s="5" t="s">
        <v>48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47</v>
      </c>
      <c r="G67" s="4">
        <v>4</v>
      </c>
    </row>
    <row r="69" spans="6:8" ht="16.5" x14ac:dyDescent="0.15">
      <c r="F69" s="5" t="s">
        <v>64</v>
      </c>
      <c r="G69" s="4" t="s">
        <v>23</v>
      </c>
    </row>
    <row r="71" spans="6:8" ht="16.5" x14ac:dyDescent="0.15">
      <c r="F71" s="5" t="s">
        <v>163</v>
      </c>
      <c r="G71" s="4" t="s">
        <v>175</v>
      </c>
      <c r="H71" s="34" t="s">
        <v>172</v>
      </c>
    </row>
    <row r="73" spans="6:8" ht="16.5" x14ac:dyDescent="0.15">
      <c r="F73" s="5" t="s">
        <v>170</v>
      </c>
      <c r="G73" s="4" t="s">
        <v>178</v>
      </c>
      <c r="H73" s="34" t="s">
        <v>172</v>
      </c>
    </row>
    <row r="75" spans="6:8" ht="16.5" x14ac:dyDescent="0.15">
      <c r="F75" s="5" t="s">
        <v>81</v>
      </c>
      <c r="G75" s="4" t="s">
        <v>62</v>
      </c>
    </row>
    <row r="77" spans="6:8" ht="16.5" x14ac:dyDescent="0.15">
      <c r="F77" s="5" t="s">
        <v>82</v>
      </c>
      <c r="G77" s="4" t="s">
        <v>91</v>
      </c>
    </row>
    <row r="79" spans="6:8" ht="16.5" x14ac:dyDescent="0.15">
      <c r="F79" s="5" t="s">
        <v>86</v>
      </c>
      <c r="G79" s="4" t="s">
        <v>87</v>
      </c>
    </row>
    <row r="81" spans="6:7" ht="16.5" x14ac:dyDescent="0.15">
      <c r="F81" s="5" t="s">
        <v>88</v>
      </c>
      <c r="G81" s="4" t="s">
        <v>89</v>
      </c>
    </row>
    <row r="83" spans="6:7" ht="16.5" x14ac:dyDescent="0.15">
      <c r="F83" s="5" t="s">
        <v>158</v>
      </c>
      <c r="G83" s="4" t="s">
        <v>87</v>
      </c>
    </row>
    <row r="85" spans="6:7" ht="16.5" x14ac:dyDescent="0.15">
      <c r="F85" s="5" t="s">
        <v>183</v>
      </c>
      <c r="G85" s="4" t="s">
        <v>176</v>
      </c>
    </row>
    <row r="87" spans="6:7" ht="16.5" x14ac:dyDescent="0.15">
      <c r="F87" s="5" t="s">
        <v>184</v>
      </c>
      <c r="G87" s="4" t="s">
        <v>177</v>
      </c>
    </row>
    <row r="89" spans="6:7" ht="16.5" x14ac:dyDescent="0.15">
      <c r="F89" s="5" t="s">
        <v>185</v>
      </c>
      <c r="G89" s="4" t="s">
        <v>179</v>
      </c>
    </row>
    <row r="91" spans="6:7" ht="16.5" x14ac:dyDescent="0.15">
      <c r="F91" s="5" t="s">
        <v>186</v>
      </c>
      <c r="G91" s="4" t="s">
        <v>180</v>
      </c>
    </row>
    <row r="93" spans="6:7" ht="16.5" x14ac:dyDescent="0.15">
      <c r="F93" s="5" t="s">
        <v>187</v>
      </c>
      <c r="G93" s="4" t="s">
        <v>181</v>
      </c>
    </row>
    <row r="95" spans="6:7" ht="16.5" x14ac:dyDescent="0.15">
      <c r="F95" s="5" t="s">
        <v>188</v>
      </c>
      <c r="G95" s="4" t="s">
        <v>182</v>
      </c>
    </row>
    <row r="97" spans="6:8" ht="16.5" x14ac:dyDescent="0.15">
      <c r="F97" s="5" t="s">
        <v>59</v>
      </c>
      <c r="G97" s="4" t="s">
        <v>171</v>
      </c>
      <c r="H97" s="34" t="s">
        <v>85</v>
      </c>
    </row>
    <row r="99" spans="6:8" ht="16.5" x14ac:dyDescent="0.15">
      <c r="F99" s="5" t="s">
        <v>189</v>
      </c>
      <c r="G99" s="4" t="s">
        <v>153</v>
      </c>
      <c r="H99" s="34" t="s">
        <v>190</v>
      </c>
    </row>
    <row r="101" spans="6:8" ht="16.5" x14ac:dyDescent="0.15">
      <c r="F101" s="5" t="s">
        <v>225</v>
      </c>
      <c r="G101" s="4" t="s">
        <v>240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B3"/>
  <sheetViews>
    <sheetView workbookViewId="0">
      <selection activeCell="C1" sqref="C1:C5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1:2" x14ac:dyDescent="0.15">
      <c r="A1">
        <v>1</v>
      </c>
      <c r="B1" t="s">
        <v>74</v>
      </c>
    </row>
    <row r="2" spans="1:2" x14ac:dyDescent="0.15">
      <c r="B2" s="16"/>
    </row>
    <row r="3" spans="1:2" x14ac:dyDescent="0.15">
      <c r="B3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1"/>
  <sheetViews>
    <sheetView workbookViewId="0"/>
  </sheetViews>
  <sheetFormatPr defaultColWidth="9" defaultRowHeight="16.5" x14ac:dyDescent="0.15"/>
  <cols>
    <col min="1" max="1" width="9" style="17"/>
    <col min="2" max="2" width="17.875" style="17" customWidth="1"/>
    <col min="3" max="16384" width="9" style="17"/>
  </cols>
  <sheetData>
    <row r="3" spans="2:3" ht="32.25" customHeight="1" x14ac:dyDescent="0.15"/>
    <row r="4" spans="2:3" x14ac:dyDescent="0.15">
      <c r="B4" s="18" t="s">
        <v>217</v>
      </c>
    </row>
    <row r="5" spans="2:3" x14ac:dyDescent="0.15">
      <c r="B5" s="17" t="s">
        <v>216</v>
      </c>
    </row>
    <row r="7" spans="2:3" x14ac:dyDescent="0.15">
      <c r="B7" s="18" t="s">
        <v>218</v>
      </c>
    </row>
    <row r="8" spans="2:3" x14ac:dyDescent="0.15">
      <c r="B8" s="17" t="s">
        <v>220</v>
      </c>
      <c r="C8" s="17" t="s">
        <v>224</v>
      </c>
    </row>
    <row r="10" spans="2:3" x14ac:dyDescent="0.15">
      <c r="B10" s="18" t="s">
        <v>219</v>
      </c>
    </row>
    <row r="11" spans="2:3" x14ac:dyDescent="0.15">
      <c r="B11" s="17" t="s">
        <v>221</v>
      </c>
      <c r="C11" s="17" t="s">
        <v>197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Core_ACAK_structure</vt:lpstr>
      <vt:lpstr>core_ifcamp</vt:lpstr>
      <vt:lpstr>core_homepage_setup</vt:lpstr>
      <vt:lpstr>core_plugin</vt:lpstr>
      <vt:lpstr>core_debug</vt:lpstr>
      <vt:lpstr>core_actions</vt:lpstr>
      <vt:lpstr>core_setup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2019-05-04T12:57:37Z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