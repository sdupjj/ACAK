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ACAK-Core-0.9\"/>
    </mc:Choice>
  </mc:AlternateContent>
  <xr:revisionPtr revIDLastSave="0" documentId="13_ncr:1_{7E7C45FC-5588-488E-9862-0C2593FA55EE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actions" sheetId="11" state="hidden" r:id="rId8"/>
    <sheet name="core_setup" sheetId="4" state="hidden" r:id="rId9"/>
    <sheet name="core_display_setup" sheetId="12" state="hidden" r:id="rId10"/>
    <sheet name="core_changelog" sheetId="13" state="hidden" r:id="rId11"/>
    <sheet name="core_about" sheetId="14" state="hidden" r:id="rId12"/>
  </sheets>
  <functionGroups builtInGroupCount="19"/>
  <calcPr calcId="181029"/>
</workbook>
</file>

<file path=xl/calcChain.xml><?xml version="1.0" encoding="utf-8"?>
<calcChain xmlns="http://schemas.openxmlformats.org/spreadsheetml/2006/main">
  <c r="F10" i="3" l="1"/>
  <c r="F12" i="3"/>
  <c r="F9" i="3"/>
</calcChain>
</file>

<file path=xl/sharedStrings.xml><?xml version="1.0" encoding="utf-8"?>
<sst xmlns="http://schemas.openxmlformats.org/spreadsheetml/2006/main" count="179" uniqueCount="160">
  <si>
    <t>(Y or N)</t>
    <phoneticPr fontId="1" type="noConversion"/>
  </si>
  <si>
    <t>C:\123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</si>
  <si>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</si>
  <si>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</si>
  <si>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</si>
  <si>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</si>
  <si>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</si>
  <si>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</si>
  <si>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</si>
  <si>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</si>
  <si>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</si>
  <si>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</si>
  <si>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</si>
  <si>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</si>
  <si>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</si>
  <si>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</si>
  <si>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count03</t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</si>
  <si>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</si>
  <si>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</si>
  <si>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</si>
  <si>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</si>
  <si>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</si>
  <si>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</si>
  <si>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</si>
  <si>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</si>
  <si>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</si>
  <si>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</si>
  <si>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</si>
  <si>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</si>
  <si>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</si>
  <si>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</si>
  <si>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</si>
  <si>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</si>
  <si>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</si>
  <si>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</si>
  <si>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</si>
  <si>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</si>
  <si>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</si>
  <si>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</si>
  <si>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</si>
  <si>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</si>
  <si>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</si>
  <si>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</si>
  <si>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</si>
  <si>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</si>
  <si>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</si>
  <si>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</si>
  <si>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X8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</si>
  <si>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</si>
  <si>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</si>
  <si>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</si>
  <si>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</si>
  <si>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</si>
  <si>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</si>
  <si>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a_AddOne(Whichcount As String)</t>
    <phoneticPr fontId="1" type="noConversion"/>
  </si>
  <si>
    <t>为指定的count加1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</si>
  <si>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</si>
  <si>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</si>
  <si>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</si>
  <si>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X8</t>
    <phoneticPr fontId="1" type="noConversion"/>
  </si>
  <si>
    <t>空程序</t>
    <phoneticPr fontId="1" type="noConversion"/>
  </si>
  <si>
    <t>Y</t>
    <phoneticPr fontId="1" type="noConversion"/>
  </si>
  <si>
    <t>V</t>
  </si>
  <si>
    <t>X8</t>
    <phoneticPr fontId="1" type="noConversion"/>
  </si>
  <si>
    <t>IFdisplayinScreenCol</t>
    <phoneticPr fontId="1" type="noConversion"/>
  </si>
  <si>
    <t>Engine Loop</t>
    <phoneticPr fontId="1" type="noConversion"/>
  </si>
  <si>
    <t>a_ReduceOne(Whichcount As String)</t>
    <phoneticPr fontId="1" type="noConversion"/>
  </si>
  <si>
    <t>为count原有的值减少1</t>
  </si>
  <si>
    <t>a_BeZero(Whichcount As String)</t>
    <phoneticPr fontId="1" type="noConversion"/>
  </si>
  <si>
    <t>设置count的值为0</t>
    <phoneticPr fontId="1" type="noConversion"/>
  </si>
  <si>
    <t>a_BeOne(Whichcount As String)</t>
    <phoneticPr fontId="1" type="noConversion"/>
  </si>
  <si>
    <t>设置count的值为1</t>
    <phoneticPr fontId="1" type="noConversion"/>
  </si>
  <si>
    <t>a_ShapeShow(PS As String)</t>
    <phoneticPr fontId="1" type="noConversion"/>
  </si>
  <si>
    <t>显示备注，which放在图形中</t>
    <phoneticPr fontId="1" type="noConversion"/>
  </si>
  <si>
    <t>a_ShapeHide()</t>
    <phoneticPr fontId="1" type="noConversion"/>
  </si>
  <si>
    <t>隐藏备注</t>
    <phoneticPr fontId="1" type="noConversion"/>
  </si>
  <si>
    <t>a_OpenOne()</t>
    <phoneticPr fontId="1" type="noConversion"/>
  </si>
  <si>
    <t>设置one引擎能被打开</t>
    <phoneticPr fontId="1" type="noConversion"/>
  </si>
  <si>
    <t>a_CloseOne()</t>
    <phoneticPr fontId="1" type="noConversion"/>
  </si>
  <si>
    <t>设置one引擎不能被打开</t>
    <phoneticPr fontId="1" type="noConversion"/>
  </si>
  <si>
    <t>a_OpenActions()</t>
    <phoneticPr fontId="1" type="noConversion"/>
  </si>
  <si>
    <t>打开执行动作功能</t>
    <phoneticPr fontId="1" type="noConversion"/>
  </si>
  <si>
    <t>a_CloseActions()</t>
    <phoneticPr fontId="1" type="noConversion"/>
  </si>
  <si>
    <t>关闭执行动作功能</t>
    <phoneticPr fontId="1" type="noConversion"/>
  </si>
  <si>
    <t>a_IniExcelName()</t>
    <phoneticPr fontId="1" type="noConversion"/>
  </si>
  <si>
    <t>把excel工作簿本身的名字，写入 setup</t>
    <phoneticPr fontId="1" type="noConversion"/>
  </si>
  <si>
    <t>a_SimpleExcel(TrueOrFalse As String)</t>
    <phoneticPr fontId="1" type="noConversion"/>
  </si>
  <si>
    <t>是否简单化excelsheet页的显示 让他看上去更像一个程序</t>
    <phoneticPr fontId="1" type="noConversion"/>
  </si>
  <si>
    <t>a_ShowExcelSize(MinNormalMax As String)</t>
    <phoneticPr fontId="1" type="noConversion"/>
  </si>
  <si>
    <t>最大化，最小化，正常化excel工具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</si>
  <si>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</si>
  <si>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</si>
  <si>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</si>
  <si>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a_ShowPage(pagename As String)</t>
    <phoneticPr fontId="1" type="noConversion"/>
  </si>
  <si>
    <t>显示指定的sheet</t>
    <phoneticPr fontId="1" type="noConversion"/>
  </si>
  <si>
    <t>a_ShowPage "core_homepage"</t>
    <phoneticPr fontId="1" type="noConversion"/>
  </si>
  <si>
    <t>When One Start</t>
    <phoneticPr fontId="11" type="noConversion"/>
  </si>
  <si>
    <t>X8</t>
    <phoneticPr fontId="11" type="noConversion"/>
  </si>
  <si>
    <t>a_BeZero "count02"</t>
    <phoneticPr fontId="11" type="noConversion"/>
  </si>
  <si>
    <t>When One End</t>
    <phoneticPr fontId="11" type="noConversion"/>
  </si>
  <si>
    <t>X8</t>
    <phoneticPr fontId="11" type="noConversion"/>
  </si>
  <si>
    <t>simple or pro</t>
    <phoneticPr fontId="1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</si>
  <si>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</si>
  <si>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</si>
  <si>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</si>
  <si>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</si>
  <si>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Logfolder</t>
    <phoneticPr fontId="1" type="noConversion"/>
  </si>
  <si>
    <t>a_CheckFolder()</t>
    <phoneticPr fontId="1" type="noConversion"/>
  </si>
  <si>
    <t>检查指定的文件夹是否存在，不存在则创建</t>
    <phoneticPr fontId="1" type="noConversion"/>
  </si>
  <si>
    <t>a_CheckFolder</t>
    <phoneticPr fontId="1" type="noConversion"/>
  </si>
  <si>
    <t>LogSheet</t>
    <phoneticPr fontId="1" type="noConversion"/>
  </si>
  <si>
    <t>a_LogInTXT()</t>
    <phoneticPr fontId="1" type="noConversion"/>
  </si>
  <si>
    <t>将log 页里面的内容加入到TXT中，log页清空</t>
    <phoneticPr fontId="1" type="noConversion"/>
  </si>
  <si>
    <t>a_LogInTXT</t>
    <phoneticPr fontId="1" type="noConversion"/>
  </si>
  <si>
    <t>\pic\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</si>
  <si>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</si>
  <si>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</si>
  <si>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</si>
  <si>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</si>
  <si>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</si>
  <si>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</si>
  <si>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</si>
  <si>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</si>
  <si>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a_initialM00()</t>
    <phoneticPr fontId="1" type="noConversion"/>
  </si>
  <si>
    <t>将M00 中的值归0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</si>
  <si>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</si>
  <si>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</si>
  <si>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</si>
  <si>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核心架构0.9完成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</si>
  <si>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</si>
  <si>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</si>
  <si>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ACAK程序特点：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</si>
  <si>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</si>
  <si>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</si>
  <si>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</si>
  <si>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</si>
  <si>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</si>
  <si>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>picfolder</t>
    <phoneticPr fontId="1" type="noConversion"/>
  </si>
  <si>
    <t>a_changeOneLoppNumber(loopnumber As Long)</t>
    <phoneticPr fontId="1" type="noConversion"/>
  </si>
  <si>
    <t>设置one引擎的运作次数</t>
    <phoneticPr fontId="1" type="noConversion"/>
  </si>
  <si>
    <t>a_SamplePicToDic()</t>
    <phoneticPr fontId="1" type="noConversion"/>
  </si>
  <si>
    <t>将findpic文件夹中文件的大小，都导入字典中，方便对比</t>
    <phoneticPr fontId="1" type="noConversion"/>
  </si>
  <si>
    <t xml:space="preserve"> </t>
    <phoneticPr fontId="1" type="noConversion"/>
  </si>
  <si>
    <t>a_MouseMove(ByVal x As Long, ByVal y As Long, ByVal ttime As Long)</t>
    <phoneticPr fontId="1" type="noConversion"/>
  </si>
  <si>
    <t>鼠标移动</t>
    <phoneticPr fontId="1" type="noConversion"/>
  </si>
  <si>
    <t>a_MouseClick(ByVal L0R1 As String, ByVal ttime As Long)</t>
    <phoneticPr fontId="1" type="noConversion"/>
  </si>
  <si>
    <t>鼠标点击</t>
    <phoneticPr fontId="1" type="noConversion"/>
  </si>
  <si>
    <t>a_SendKeyss(keys As String)</t>
  </si>
  <si>
    <t>模拟键盘输入</t>
    <phoneticPr fontId="1" type="noConversion"/>
  </si>
  <si>
    <t>Done</t>
    <phoneticPr fontId="1" type="noConversion"/>
  </si>
  <si>
    <t>Y</t>
    <phoneticPr fontId="1" type="noConversion"/>
  </si>
  <si>
    <t>pro</t>
  </si>
  <si>
    <t>a_IniExcelName</t>
  </si>
  <si>
    <t>x8</t>
    <phoneticPr fontId="1" type="noConversion"/>
  </si>
  <si>
    <t>ACAK Core 09.xlsm - Excel</t>
    <phoneticPr fontId="1" type="noConversion"/>
  </si>
  <si>
    <t>count06</t>
    <phoneticPr fontId="1" type="noConversion"/>
  </si>
  <si>
    <t>if_IFonCo "G15", "count07", "count06"</t>
    <phoneticPr fontId="1" type="noConversion"/>
  </si>
  <si>
    <t>count07=1?</t>
    <phoneticPr fontId="1" type="noConversion"/>
  </si>
  <si>
    <t>a_BeZero "count07"</t>
    <phoneticPr fontId="1" type="noConversion"/>
  </si>
  <si>
    <t>a_BeOne "count07"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</si>
</sst>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1" tint="4.9989318521683403E-2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0" borderId="0" xfId="0" applyFont="1" applyFill="1">
      <alignment vertical="center"/>
    </xf>
    <xf numFmtId="0" fontId="10" fillId="12" borderId="0" xfId="0" applyFont="1" applyFill="1" applyAlignment="1"/>
    <xf numFmtId="0" fontId="0" fillId="3" borderId="0" xfId="0" applyFill="1" applyAlignment="1"/>
    <xf numFmtId="0" fontId="0" fillId="13" borderId="0" xfId="0" applyFill="1">
      <alignment vertical="center"/>
    </xf>
    <xf numFmtId="0" fontId="2" fillId="13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9" fillId="9" borderId="0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一次状态检查</a:t>
          </a:r>
          <a:endParaRPr lang="en-US" sz="11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/>
            <a:t>发动</a:t>
          </a:r>
          <a:r>
            <a:rPr lang="en-US" sz="12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开启</a:t>
          </a:r>
          <a:endParaRPr lang="en-US" altLang="zh-CN" sz="1100"/>
        </a:p>
        <a:p>
          <a:pPr algn="l"/>
          <a:r>
            <a:rPr lang="en-US" altLang="zh-CN" sz="11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开启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动作</a:t>
          </a:r>
          <a:endParaRPr lang="en-US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  <a:p>
          <a:pPr algn="l"/>
          <a:r>
            <a:rPr lang="en-US" altLang="zh-CN" sz="11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  <a:p>
          <a:pPr algn="l"/>
          <a:r>
            <a:rPr lang="zh-CN" altLang="en-US" sz="1100"/>
            <a:t>动作</a:t>
          </a:r>
          <a:endParaRPr lang="en-US" altLang="zh-CN" sz="11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引擎最大允许运行次数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7</xdr:row>
      <xdr:rowOff>231914</xdr:rowOff>
    </xdr:from>
    <xdr:to>
      <xdr:col>11</xdr:col>
      <xdr:colOff>612937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8</xdr:row>
      <xdr:rowOff>223631</xdr:rowOff>
    </xdr:from>
    <xdr:to>
      <xdr:col>11</xdr:col>
      <xdr:colOff>612937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66261</xdr:colOff>
      <xdr:row>9</xdr:row>
      <xdr:rowOff>198783</xdr:rowOff>
    </xdr:from>
    <xdr:to>
      <xdr:col>11</xdr:col>
      <xdr:colOff>617493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74544</xdr:colOff>
      <xdr:row>11</xdr:row>
      <xdr:rowOff>41413</xdr:rowOff>
    </xdr:from>
    <xdr:to>
      <xdr:col>11</xdr:col>
      <xdr:colOff>625776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15</xdr:row>
      <xdr:rowOff>0</xdr:rowOff>
    </xdr:from>
    <xdr:to>
      <xdr:col>8</xdr:col>
      <xdr:colOff>483454</xdr:colOff>
      <xdr:row>19</xdr:row>
      <xdr:rowOff>15227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关闭</a:t>
          </a:r>
          <a:endParaRPr lang="en-US" altLang="zh-CN" sz="1100"/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oneCell">
    <xdr:from>
      <xdr:col>8</xdr:col>
      <xdr:colOff>251712</xdr:colOff>
      <xdr:row>15</xdr:row>
      <xdr:rowOff>4479</xdr:rowOff>
    </xdr:from>
    <xdr:to>
      <xdr:col>8</xdr:col>
      <xdr:colOff>483454</xdr:colOff>
      <xdr:row>19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16</xdr:row>
      <xdr:rowOff>4479</xdr:rowOff>
    </xdr:from>
    <xdr:to>
      <xdr:col>8</xdr:col>
      <xdr:colOff>483454</xdr:colOff>
      <xdr:row>21</xdr:row>
      <xdr:rowOff>19707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21</xdr:row>
      <xdr:rowOff>15228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203638</xdr:rowOff>
    </xdr:from>
    <xdr:to>
      <xdr:col>10</xdr:col>
      <xdr:colOff>231742</xdr:colOff>
      <xdr:row>21</xdr:row>
      <xdr:rowOff>8191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17</xdr:row>
      <xdr:rowOff>4479</xdr:rowOff>
    </xdr:from>
    <xdr:to>
      <xdr:col>8</xdr:col>
      <xdr:colOff>483454</xdr:colOff>
      <xdr:row>22</xdr:row>
      <xdr:rowOff>19706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15227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22</xdr:row>
      <xdr:rowOff>2091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203638</xdr:rowOff>
    </xdr:from>
    <xdr:to>
      <xdr:col>10</xdr:col>
      <xdr:colOff>231742</xdr:colOff>
      <xdr:row>22</xdr:row>
      <xdr:rowOff>8660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23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23</xdr:row>
      <xdr:rowOff>2089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203638</xdr:rowOff>
    </xdr:from>
    <xdr:to>
      <xdr:col>10</xdr:col>
      <xdr:colOff>231742</xdr:colOff>
      <xdr:row>23</xdr:row>
      <xdr:rowOff>8658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19706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24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203638</xdr:rowOff>
    </xdr:from>
    <xdr:to>
      <xdr:col>10</xdr:col>
      <xdr:colOff>231742</xdr:colOff>
      <xdr:row>24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19707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203638</xdr:rowOff>
    </xdr:from>
    <xdr:to>
      <xdr:col>10</xdr:col>
      <xdr:colOff>231742</xdr:colOff>
      <xdr:row>25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26</xdr:row>
      <xdr:rowOff>2092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203638</xdr:rowOff>
    </xdr:from>
    <xdr:to>
      <xdr:col>10</xdr:col>
      <xdr:colOff>231742</xdr:colOff>
      <xdr:row>26</xdr:row>
      <xdr:rowOff>8661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21</xdr:row>
      <xdr:rowOff>19707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22</xdr:row>
      <xdr:rowOff>19706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21</xdr:row>
      <xdr:rowOff>19707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22</xdr:row>
      <xdr:rowOff>19706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0</xdr:rowOff>
    </xdr:from>
    <xdr:to>
      <xdr:col>10</xdr:col>
      <xdr:colOff>483454</xdr:colOff>
      <xdr:row>19</xdr:row>
      <xdr:rowOff>15227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4479</xdr:rowOff>
    </xdr:from>
    <xdr:to>
      <xdr:col>10</xdr:col>
      <xdr:colOff>483454</xdr:colOff>
      <xdr:row>19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15228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24185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21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21</xdr:row>
      <xdr:rowOff>2091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21</xdr:row>
      <xdr:rowOff>15229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19708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16</xdr:row>
      <xdr:rowOff>0</xdr:rowOff>
    </xdr:from>
    <xdr:to>
      <xdr:col>9</xdr:col>
      <xdr:colOff>474794</xdr:colOff>
      <xdr:row>21</xdr:row>
      <xdr:rowOff>15228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21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21</xdr:row>
      <xdr:rowOff>2091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21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197069</xdr:rowOff>
    </xdr:from>
    <xdr:to>
      <xdr:col>10</xdr:col>
      <xdr:colOff>231742</xdr:colOff>
      <xdr:row>21</xdr:row>
      <xdr:rowOff>2091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22</xdr:row>
      <xdr:rowOff>2090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21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17</xdr:row>
      <xdr:rowOff>0</xdr:rowOff>
    </xdr:from>
    <xdr:to>
      <xdr:col>9</xdr:col>
      <xdr:colOff>474794</xdr:colOff>
      <xdr:row>22</xdr:row>
      <xdr:rowOff>15227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16</xdr:row>
      <xdr:rowOff>4479</xdr:rowOff>
    </xdr:from>
    <xdr:to>
      <xdr:col>9</xdr:col>
      <xdr:colOff>483454</xdr:colOff>
      <xdr:row>21</xdr:row>
      <xdr:rowOff>19707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22</xdr:row>
      <xdr:rowOff>2090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197069</xdr:rowOff>
    </xdr:from>
    <xdr:to>
      <xdr:col>10</xdr:col>
      <xdr:colOff>231742</xdr:colOff>
      <xdr:row>22</xdr:row>
      <xdr:rowOff>2090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17</xdr:row>
      <xdr:rowOff>4479</xdr:rowOff>
    </xdr:from>
    <xdr:to>
      <xdr:col>9</xdr:col>
      <xdr:colOff>483454</xdr:colOff>
      <xdr:row>22</xdr:row>
      <xdr:rowOff>19706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24185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231742</xdr:colOff>
      <xdr:row>20</xdr:row>
      <xdr:rowOff>15227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16</xdr:row>
      <xdr:rowOff>4479</xdr:rowOff>
    </xdr:from>
    <xdr:to>
      <xdr:col>10</xdr:col>
      <xdr:colOff>231742</xdr:colOff>
      <xdr:row>20</xdr:row>
      <xdr:rowOff>19706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231742</xdr:colOff>
      <xdr:row>21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17</xdr:row>
      <xdr:rowOff>4479</xdr:rowOff>
    </xdr:from>
    <xdr:to>
      <xdr:col>10</xdr:col>
      <xdr:colOff>231742</xdr:colOff>
      <xdr:row>21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638175</xdr:colOff>
      <xdr:row>6</xdr:row>
      <xdr:rowOff>38100</xdr:rowOff>
    </xdr:from>
    <xdr:to>
      <xdr:col>0</xdr:col>
      <xdr:colOff>1313327</xdr:colOff>
      <xdr:row>8</xdr:row>
      <xdr:rowOff>87406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779648" y="92532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0</xdr:rowOff>
    </xdr:from>
    <xdr:to>
      <xdr:col>7</xdr:col>
      <xdr:colOff>675152</xdr:colOff>
      <xdr:row>2</xdr:row>
      <xdr:rowOff>49306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6200000">
          <a:off x="49420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171450</xdr:rowOff>
    </xdr:from>
    <xdr:to>
      <xdr:col>0</xdr:col>
      <xdr:colOff>675152</xdr:colOff>
      <xdr:row>0</xdr:row>
      <xdr:rowOff>563656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57150</xdr:rowOff>
    </xdr:from>
    <xdr:to>
      <xdr:col>2</xdr:col>
      <xdr:colOff>179852</xdr:colOff>
      <xdr:row>2</xdr:row>
      <xdr:rowOff>68356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16200000">
          <a:off x="255773" y="-843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47625</xdr:rowOff>
    </xdr:from>
    <xdr:to>
      <xdr:col>2</xdr:col>
      <xdr:colOff>198902</xdr:colOff>
      <xdr:row>2</xdr:row>
      <xdr:rowOff>96931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16200000">
          <a:off x="274823" y="-938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oneCell">
    <xdr:from>
      <xdr:col>1</xdr:col>
      <xdr:colOff>356152</xdr:colOff>
      <xdr:row>2</xdr:row>
      <xdr:rowOff>126574</xdr:rowOff>
    </xdr:from>
    <xdr:to>
      <xdr:col>4</xdr:col>
      <xdr:colOff>248800</xdr:colOff>
      <xdr:row>6</xdr:row>
      <xdr:rowOff>155570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7152" y="47444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15</xdr:row>
      <xdr:rowOff>33130</xdr:rowOff>
    </xdr:from>
    <xdr:to>
      <xdr:col>2</xdr:col>
      <xdr:colOff>198782</xdr:colOff>
      <xdr:row>16</xdr:row>
      <xdr:rowOff>149087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264215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91109</xdr:colOff>
      <xdr:row>17</xdr:row>
      <xdr:rowOff>33131</xdr:rowOff>
    </xdr:from>
    <xdr:to>
      <xdr:col>2</xdr:col>
      <xdr:colOff>207065</xdr:colOff>
      <xdr:row>18</xdr:row>
      <xdr:rowOff>149088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72109" y="299002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82827</xdr:colOff>
      <xdr:row>19</xdr:row>
      <xdr:rowOff>57978</xdr:rowOff>
    </xdr:from>
    <xdr:to>
      <xdr:col>2</xdr:col>
      <xdr:colOff>198783</xdr:colOff>
      <xdr:row>21</xdr:row>
      <xdr:rowOff>1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63827" y="3362739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2</xdr:col>
      <xdr:colOff>662608</xdr:colOff>
      <xdr:row>15</xdr:row>
      <xdr:rowOff>24848</xdr:rowOff>
    </xdr:from>
    <xdr:to>
      <xdr:col>4</xdr:col>
      <xdr:colOff>397565</xdr:colOff>
      <xdr:row>16</xdr:row>
      <xdr:rowOff>140805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731065" y="2633870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2</xdr:col>
      <xdr:colOff>629478</xdr:colOff>
      <xdr:row>17</xdr:row>
      <xdr:rowOff>8284</xdr:rowOff>
    </xdr:from>
    <xdr:to>
      <xdr:col>4</xdr:col>
      <xdr:colOff>364435</xdr:colOff>
      <xdr:row>18</xdr:row>
      <xdr:rowOff>124241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697935" y="2965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1704975</xdr:colOff>
      <xdr:row>0</xdr:row>
      <xdr:rowOff>66675</xdr:rowOff>
    </xdr:from>
    <xdr:to>
      <xdr:col>3</xdr:col>
      <xdr:colOff>665627</xdr:colOff>
      <xdr:row>0</xdr:row>
      <xdr:rowOff>458881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521829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7</xdr:row>
      <xdr:rowOff>123825</xdr:rowOff>
    </xdr:from>
    <xdr:to>
      <xdr:col>5</xdr:col>
      <xdr:colOff>27452</xdr:colOff>
      <xdr:row>9</xdr:row>
      <xdr:rowOff>135031</xdr:rowOff>
    </xdr:to>
    <xdr:sp macro="[0]!'a_ShowPage &quot;core_homepage&quot;'" textlink="">
      <xdr:nvSpPr>
        <xdr:cNvPr id="3" name="右箭头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179573" y="-176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294152</xdr:colOff>
      <xdr:row>2</xdr:row>
      <xdr:rowOff>106456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16200000">
          <a:off x="198623" y="-843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0</xdr:col>
      <xdr:colOff>675152</xdr:colOff>
      <xdr:row>3</xdr:row>
      <xdr:rowOff>49306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2" name="右箭头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zh-CN" altLang="en-US" sz="14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主页</a:t>
          </a:r>
          <a:endParaRPr lang="zh-CN" altLang="en-US" sz="300" b="1">
            <a:solidFill>
              <a:schemeClr val="tx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6"/>
  <sheetViews>
    <sheetView tabSelected="1" topLeftCell="E4" zoomScale="85" zoomScaleNormal="85" workbookViewId="0">
      <selection activeCell="F16" sqref="F16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1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0" hidden="1" x14ac:dyDescent="0.15"/>
    <row r="2" spans="1:10" hidden="1" x14ac:dyDescent="0.15"/>
    <row r="3" spans="1:10" hidden="1" x14ac:dyDescent="0.15"/>
    <row r="4" spans="1:10" s="15" customFormat="1" ht="35.25" customHeight="1" x14ac:dyDescent="0.15"/>
    <row r="5" spans="1:10" ht="10.5" customHeight="1" x14ac:dyDescent="0.15"/>
    <row r="6" spans="1:10" ht="21.75" customHeight="1" x14ac:dyDescent="0.15">
      <c r="I6" s="25" t="s">
        <v>149</v>
      </c>
      <c r="J6" s="25"/>
    </row>
    <row r="7" spans="1:10" ht="21.75" customHeight="1" x14ac:dyDescent="0.15">
      <c r="A7" s="12" t="s">
        <v>62</v>
      </c>
      <c r="I7" s="23"/>
      <c r="J7" s="23" t="s">
        <v>62</v>
      </c>
    </row>
    <row r="8" spans="1:10" ht="21.75" hidden="1" customHeight="1" thickBot="1" x14ac:dyDescent="0.15">
      <c r="F8" s="13"/>
    </row>
    <row r="9" spans="1:10" ht="21.75" customHeight="1" x14ac:dyDescent="0.15">
      <c r="F9" s="13">
        <f>VLOOKUP("Engine Loop",core_setup!F:G,2,0)</f>
        <v>20</v>
      </c>
      <c r="I9" s="13">
        <v>500</v>
      </c>
      <c r="J9" s="13">
        <v>500</v>
      </c>
    </row>
    <row r="10" spans="1:10" x14ac:dyDescent="0.15">
      <c r="F10" s="13">
        <f>core_count!B1</f>
        <v>42</v>
      </c>
      <c r="I10" s="13">
        <v>20</v>
      </c>
      <c r="J10" s="13">
        <v>20</v>
      </c>
    </row>
    <row r="11" spans="1:10" x14ac:dyDescent="0.15">
      <c r="I11" s="13">
        <v>1000</v>
      </c>
      <c r="J11" s="13">
        <v>1000</v>
      </c>
    </row>
    <row r="12" spans="1:10" x14ac:dyDescent="0.15">
      <c r="F12" s="13">
        <f>core_count!B2</f>
        <v>20</v>
      </c>
      <c r="I12" s="13">
        <v>0</v>
      </c>
      <c r="J12" s="13">
        <v>1</v>
      </c>
    </row>
    <row r="14" spans="1:10" hidden="1" x14ac:dyDescent="0.15"/>
    <row r="15" spans="1:10" x14ac:dyDescent="0.35">
      <c r="F15" s="12" t="s">
        <v>157</v>
      </c>
      <c r="G15" s="26">
        <v>0</v>
      </c>
      <c r="I15" s="13">
        <v>1</v>
      </c>
      <c r="J15" s="13">
        <v>0</v>
      </c>
    </row>
    <row r="17" spans="9:10" x14ac:dyDescent="0.15">
      <c r="I17" s="24" t="s">
        <v>158</v>
      </c>
      <c r="J17" s="24" t="s">
        <v>159</v>
      </c>
    </row>
    <row r="18" spans="9:10" x14ac:dyDescent="0.15">
      <c r="I18" s="24" t="s">
        <v>153</v>
      </c>
      <c r="J18" s="24" t="s">
        <v>47</v>
      </c>
    </row>
    <row r="19" spans="9:10" x14ac:dyDescent="0.15">
      <c r="I19" s="24" t="s">
        <v>47</v>
      </c>
      <c r="J19" s="24" t="s">
        <v>47</v>
      </c>
    </row>
    <row r="20" spans="9:10" x14ac:dyDescent="0.15">
      <c r="I20" s="24" t="s">
        <v>47</v>
      </c>
      <c r="J20" s="24" t="s">
        <v>47</v>
      </c>
    </row>
    <row r="21" spans="9:10" x14ac:dyDescent="0.15">
      <c r="I21" s="24" t="s">
        <v>47</v>
      </c>
      <c r="J21" s="24" t="s">
        <v>47</v>
      </c>
    </row>
    <row r="22" spans="9:10" x14ac:dyDescent="0.15">
      <c r="I22" s="24" t="s">
        <v>47</v>
      </c>
      <c r="J22" s="24" t="s">
        <v>47</v>
      </c>
    </row>
    <row r="23" spans="9:10" x14ac:dyDescent="0.15">
      <c r="I23" s="24" t="s">
        <v>47</v>
      </c>
      <c r="J23" s="24" t="s">
        <v>47</v>
      </c>
    </row>
    <row r="24" spans="9:10" x14ac:dyDescent="0.15">
      <c r="I24" s="24" t="s">
        <v>59</v>
      </c>
      <c r="J24" s="24" t="s">
        <v>47</v>
      </c>
    </row>
    <row r="26" spans="9:10" x14ac:dyDescent="0.15">
      <c r="J26" s="12" t="s">
        <v>142</v>
      </c>
    </row>
  </sheetData>
  <mergeCells count="1">
    <mergeCell ref="I6:J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2"/>
  <sheetViews>
    <sheetView zoomScale="145" zoomScaleNormal="145" workbookViewId="0">
      <selection activeCell="B10" sqref="B10"/>
    </sheetView>
  </sheetViews>
  <sheetFormatPr defaultRowHeight="13.5" x14ac:dyDescent="0.15"/>
  <cols>
    <col min="1" max="1" width="22.875" customWidth="1"/>
    <col min="2" max="2" width="50.75" customWidth="1"/>
  </cols>
  <sheetData>
    <row r="1" spans="1:4" x14ac:dyDescent="0.15">
      <c r="A1" s="14" t="s">
        <v>44</v>
      </c>
      <c r="B1" s="14" t="s">
        <v>31</v>
      </c>
      <c r="C1" s="14" t="s">
        <v>32</v>
      </c>
      <c r="D1" s="14" t="s">
        <v>35</v>
      </c>
    </row>
    <row r="2" spans="1:4" x14ac:dyDescent="0.15">
      <c r="A2" s="14" t="s">
        <v>42</v>
      </c>
      <c r="B2" s="14" t="s">
        <v>156</v>
      </c>
      <c r="C2" s="11" t="s">
        <v>157</v>
      </c>
      <c r="D2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C18" sqref="C18"/>
    </sheetView>
  </sheetViews>
  <sheetFormatPr defaultRowHeight="13.5" x14ac:dyDescent="0.15"/>
  <sheetData>
    <row r="1" spans="1:3" x14ac:dyDescent="0.15">
      <c r="A1" t="s">
        <v>14</v>
      </c>
      <c r="B1">
        <v>42</v>
      </c>
      <c r="C1" t="s">
        <v>22</v>
      </c>
    </row>
    <row r="2" spans="1:3" x14ac:dyDescent="0.15">
      <c r="A2" t="s">
        <v>15</v>
      </c>
      <c r="B2">
        <v>20</v>
      </c>
      <c r="C2" t="s">
        <v>23</v>
      </c>
    </row>
    <row r="3" spans="1:3" x14ac:dyDescent="0.15">
      <c r="A3" t="s">
        <v>16</v>
      </c>
      <c r="B3">
        <v>483</v>
      </c>
      <c r="C3" t="s">
        <v>28</v>
      </c>
    </row>
    <row r="4" spans="1:3" x14ac:dyDescent="0.15">
      <c r="A4" t="s">
        <v>17</v>
      </c>
    </row>
    <row r="5" spans="1:3" x14ac:dyDescent="0.15">
      <c r="A5" t="s">
        <v>18</v>
      </c>
    </row>
    <row r="6" spans="1:3" x14ac:dyDescent="0.15">
      <c r="A6" t="s">
        <v>155</v>
      </c>
      <c r="B6">
        <v>1</v>
      </c>
      <c r="C6" t="s">
        <v>33</v>
      </c>
    </row>
    <row r="7" spans="1:3" x14ac:dyDescent="0.15">
      <c r="A7" t="s">
        <v>43</v>
      </c>
      <c r="B7">
        <v>1</v>
      </c>
      <c r="C7" t="s">
        <v>34</v>
      </c>
    </row>
    <row r="8" spans="1:3" x14ac:dyDescent="0.15">
      <c r="A8" t="s">
        <v>19</v>
      </c>
    </row>
    <row r="9" spans="1:3" x14ac:dyDescent="0.15">
      <c r="A9" t="s">
        <v>20</v>
      </c>
    </row>
    <row r="10" spans="1:3" x14ac:dyDescent="0.15">
      <c r="A10" t="s">
        <v>21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I19" sqref="I19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D8" sqref="D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16.375" style="7" customWidth="1"/>
    <col min="9" max="13" width="4" style="7" customWidth="1"/>
    <col min="14" max="16384" width="9" style="7"/>
  </cols>
  <sheetData>
    <row r="1" spans="4:8" ht="16.5" x14ac:dyDescent="0.35">
      <c r="D1" s="16" t="s">
        <v>96</v>
      </c>
      <c r="H1" s="16" t="s">
        <v>99</v>
      </c>
    </row>
    <row r="2" spans="4:8" x14ac:dyDescent="0.15">
      <c r="D2" s="17" t="s">
        <v>97</v>
      </c>
      <c r="H2" s="17" t="s">
        <v>100</v>
      </c>
    </row>
    <row r="3" spans="4:8" x14ac:dyDescent="0.15">
      <c r="D3" s="17" t="s">
        <v>98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D9" sqref="D9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29</v>
      </c>
      <c r="H1" s="8" t="s">
        <v>30</v>
      </c>
    </row>
    <row r="2" spans="4:8" x14ac:dyDescent="0.15">
      <c r="D2" s="9" t="s">
        <v>95</v>
      </c>
      <c r="H2" s="9" t="s">
        <v>63</v>
      </c>
    </row>
    <row r="3" spans="4:8" x14ac:dyDescent="0.15">
      <c r="D3" s="9" t="s">
        <v>90</v>
      </c>
      <c r="H3" s="9" t="s">
        <v>104</v>
      </c>
    </row>
    <row r="4" spans="4:8" x14ac:dyDescent="0.15">
      <c r="D4" s="9" t="s">
        <v>91</v>
      </c>
      <c r="H4" s="9" t="s">
        <v>113</v>
      </c>
    </row>
    <row r="5" spans="4:8" x14ac:dyDescent="0.15">
      <c r="D5" s="9" t="s">
        <v>92</v>
      </c>
      <c r="H5" s="9"/>
    </row>
    <row r="6" spans="4:8" x14ac:dyDescent="0.15">
      <c r="D6" s="9" t="s">
        <v>152</v>
      </c>
      <c r="H6" s="9"/>
    </row>
    <row r="7" spans="4:8" x14ac:dyDescent="0.15">
      <c r="D7" s="9" t="s">
        <v>103</v>
      </c>
      <c r="H7" s="9"/>
    </row>
    <row r="8" spans="4:8" x14ac:dyDescent="0.15">
      <c r="D8" s="9" t="s">
        <v>109</v>
      </c>
      <c r="H8" s="9"/>
    </row>
    <row r="9" spans="4:8" x14ac:dyDescent="0.15">
      <c r="D9" s="9" t="s">
        <v>125</v>
      </c>
      <c r="H9" s="9"/>
    </row>
    <row r="10" spans="4:8" x14ac:dyDescent="0.15">
      <c r="D10" s="9"/>
      <c r="H10" s="9"/>
    </row>
    <row r="11" spans="4:8" x14ac:dyDescent="0.15">
      <c r="D11" s="9"/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E23" sqref="E23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4"/>
  <sheetViews>
    <sheetView workbookViewId="0">
      <selection activeCell="B22" sqref="B22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56</v>
      </c>
      <c r="B1" t="s">
        <v>46</v>
      </c>
      <c r="C1" t="s">
        <v>53</v>
      </c>
    </row>
    <row r="2" spans="1:3" x14ac:dyDescent="0.15">
      <c r="A2">
        <v>1</v>
      </c>
      <c r="B2" t="s">
        <v>47</v>
      </c>
      <c r="C2" t="s">
        <v>60</v>
      </c>
    </row>
    <row r="3" spans="1:3" x14ac:dyDescent="0.15">
      <c r="A3">
        <v>2</v>
      </c>
      <c r="B3" t="s">
        <v>54</v>
      </c>
      <c r="C3" t="s">
        <v>55</v>
      </c>
    </row>
    <row r="4" spans="1:3" x14ac:dyDescent="0.15">
      <c r="A4">
        <v>3</v>
      </c>
      <c r="B4" t="s">
        <v>66</v>
      </c>
      <c r="C4" t="s">
        <v>67</v>
      </c>
    </row>
    <row r="5" spans="1:3" x14ac:dyDescent="0.15">
      <c r="A5">
        <v>4</v>
      </c>
      <c r="B5" t="s">
        <v>68</v>
      </c>
      <c r="C5" t="s">
        <v>69</v>
      </c>
    </row>
    <row r="6" spans="1:3" x14ac:dyDescent="0.15">
      <c r="A6">
        <v>5</v>
      </c>
      <c r="B6" t="s">
        <v>70</v>
      </c>
      <c r="C6" t="s">
        <v>71</v>
      </c>
    </row>
    <row r="7" spans="1:3" x14ac:dyDescent="0.15">
      <c r="A7">
        <v>6</v>
      </c>
      <c r="B7" t="s">
        <v>72</v>
      </c>
      <c r="C7" t="s">
        <v>73</v>
      </c>
    </row>
    <row r="8" spans="1:3" x14ac:dyDescent="0.15">
      <c r="A8">
        <v>7</v>
      </c>
      <c r="B8" t="s">
        <v>74</v>
      </c>
      <c r="C8" t="s">
        <v>75</v>
      </c>
    </row>
    <row r="9" spans="1:3" x14ac:dyDescent="0.15">
      <c r="A9">
        <v>8</v>
      </c>
      <c r="B9" t="s">
        <v>76</v>
      </c>
      <c r="C9" t="s">
        <v>77</v>
      </c>
    </row>
    <row r="10" spans="1:3" x14ac:dyDescent="0.15">
      <c r="A10">
        <v>9</v>
      </c>
      <c r="B10" t="s">
        <v>78</v>
      </c>
      <c r="C10" t="s">
        <v>79</v>
      </c>
    </row>
    <row r="11" spans="1:3" x14ac:dyDescent="0.15">
      <c r="A11">
        <v>10</v>
      </c>
      <c r="B11" t="s">
        <v>80</v>
      </c>
      <c r="C11" t="s">
        <v>81</v>
      </c>
    </row>
    <row r="12" spans="1:3" x14ac:dyDescent="0.15">
      <c r="A12">
        <v>11</v>
      </c>
      <c r="B12" t="s">
        <v>82</v>
      </c>
      <c r="C12" t="s">
        <v>83</v>
      </c>
    </row>
    <row r="13" spans="1:3" x14ac:dyDescent="0.15">
      <c r="A13">
        <v>12</v>
      </c>
      <c r="B13" t="s">
        <v>84</v>
      </c>
      <c r="C13" t="s">
        <v>85</v>
      </c>
    </row>
    <row r="14" spans="1:3" x14ac:dyDescent="0.15">
      <c r="A14">
        <v>13</v>
      </c>
      <c r="B14" t="s">
        <v>86</v>
      </c>
      <c r="C14" t="s">
        <v>87</v>
      </c>
    </row>
    <row r="15" spans="1:3" x14ac:dyDescent="0.15">
      <c r="A15">
        <v>14</v>
      </c>
      <c r="B15" t="s">
        <v>88</v>
      </c>
      <c r="C15" t="s">
        <v>89</v>
      </c>
    </row>
    <row r="16" spans="1:3" x14ac:dyDescent="0.15">
      <c r="A16">
        <v>15</v>
      </c>
      <c r="B16" t="s">
        <v>93</v>
      </c>
      <c r="C16" t="s">
        <v>94</v>
      </c>
    </row>
    <row r="17" spans="1:3" x14ac:dyDescent="0.15">
      <c r="A17">
        <v>16</v>
      </c>
      <c r="B17" t="s">
        <v>107</v>
      </c>
      <c r="C17" t="s">
        <v>108</v>
      </c>
    </row>
    <row r="18" spans="1:3" x14ac:dyDescent="0.15">
      <c r="A18">
        <v>17</v>
      </c>
      <c r="B18" t="s">
        <v>111</v>
      </c>
      <c r="C18" t="s">
        <v>112</v>
      </c>
    </row>
    <row r="19" spans="1:3" x14ac:dyDescent="0.15">
      <c r="A19">
        <v>18</v>
      </c>
      <c r="B19" t="s">
        <v>123</v>
      </c>
      <c r="C19" t="s">
        <v>124</v>
      </c>
    </row>
    <row r="20" spans="1:3" x14ac:dyDescent="0.15">
      <c r="A20">
        <v>19</v>
      </c>
      <c r="B20" t="s">
        <v>138</v>
      </c>
      <c r="C20" t="s">
        <v>139</v>
      </c>
    </row>
    <row r="21" spans="1:3" x14ac:dyDescent="0.15">
      <c r="A21">
        <v>20</v>
      </c>
      <c r="B21" t="s">
        <v>140</v>
      </c>
      <c r="C21" t="s">
        <v>141</v>
      </c>
    </row>
    <row r="22" spans="1:3" x14ac:dyDescent="0.15">
      <c r="A22">
        <v>21</v>
      </c>
      <c r="B22" t="s">
        <v>143</v>
      </c>
      <c r="C22" t="s">
        <v>144</v>
      </c>
    </row>
    <row r="23" spans="1:3" x14ac:dyDescent="0.15">
      <c r="A23">
        <v>22</v>
      </c>
      <c r="B23" t="s">
        <v>145</v>
      </c>
      <c r="C23" t="s">
        <v>146</v>
      </c>
    </row>
    <row r="24" spans="1:3" x14ac:dyDescent="0.15">
      <c r="A24">
        <v>23</v>
      </c>
      <c r="B24" t="s">
        <v>147</v>
      </c>
      <c r="C24" t="s">
        <v>148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3"/>
  <sheetViews>
    <sheetView topLeftCell="E56" workbookViewId="0">
      <selection activeCell="I58" sqref="I58"/>
    </sheetView>
  </sheetViews>
  <sheetFormatPr defaultColWidth="9" defaultRowHeight="13.5" x14ac:dyDescent="0.15"/>
  <cols>
    <col min="1" max="4" width="0" style="1" hidden="1" customWidth="1"/>
    <col min="5" max="5" width="9" style="1"/>
    <col min="6" max="7" width="25.12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52</v>
      </c>
      <c r="G9" s="4" t="s">
        <v>154</v>
      </c>
    </row>
    <row r="11" spans="6:8" ht="16.5" x14ac:dyDescent="0.15">
      <c r="F11" s="5" t="s">
        <v>2</v>
      </c>
      <c r="G11" s="4" t="s">
        <v>1</v>
      </c>
    </row>
    <row r="12" spans="6:8" x14ac:dyDescent="0.15">
      <c r="F12" s="6"/>
      <c r="G12" s="2"/>
    </row>
    <row r="13" spans="6:8" ht="16.5" x14ac:dyDescent="0.15">
      <c r="F13" s="5" t="s">
        <v>45</v>
      </c>
      <c r="G13" s="4" t="s">
        <v>61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46</v>
      </c>
      <c r="G15" s="4" t="s">
        <v>150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8</v>
      </c>
      <c r="G17" s="4" t="s">
        <v>38</v>
      </c>
    </row>
    <row r="18" spans="6:8" x14ac:dyDescent="0.15">
      <c r="F18" s="6"/>
      <c r="G18" s="2"/>
    </row>
    <row r="19" spans="6:8" ht="16.5" x14ac:dyDescent="0.15">
      <c r="F19" s="5" t="s">
        <v>39</v>
      </c>
      <c r="G19" s="4" t="s">
        <v>37</v>
      </c>
    </row>
    <row r="20" spans="6:8" x14ac:dyDescent="0.15">
      <c r="F20" s="6"/>
      <c r="G20" s="2"/>
    </row>
    <row r="21" spans="6:8" ht="16.5" x14ac:dyDescent="0.15">
      <c r="F21" s="5" t="s">
        <v>65</v>
      </c>
      <c r="G21" s="4">
        <v>20</v>
      </c>
    </row>
    <row r="22" spans="6:8" x14ac:dyDescent="0.15">
      <c r="F22" s="6"/>
    </row>
    <row r="23" spans="6:8" ht="16.5" x14ac:dyDescent="0.15">
      <c r="F23" s="5" t="s">
        <v>24</v>
      </c>
      <c r="G23" s="4">
        <v>1</v>
      </c>
      <c r="H23" s="10" t="s">
        <v>26</v>
      </c>
    </row>
    <row r="24" spans="6:8" x14ac:dyDescent="0.15">
      <c r="F24" s="6"/>
    </row>
    <row r="25" spans="6:8" ht="16.5" x14ac:dyDescent="0.15">
      <c r="F25" s="5" t="s">
        <v>36</v>
      </c>
      <c r="G25" s="4" t="s">
        <v>51</v>
      </c>
    </row>
    <row r="26" spans="6:8" x14ac:dyDescent="0.15">
      <c r="F26" s="6"/>
    </row>
    <row r="27" spans="6:8" ht="16.5" x14ac:dyDescent="0.15">
      <c r="F27" s="5" t="s">
        <v>41</v>
      </c>
      <c r="G27" s="4" t="s">
        <v>40</v>
      </c>
    </row>
    <row r="28" spans="6:8" x14ac:dyDescent="0.15">
      <c r="F28" s="6"/>
    </row>
    <row r="29" spans="6:8" ht="16.5" x14ac:dyDescent="0.15">
      <c r="F29" s="5" t="s">
        <v>7</v>
      </c>
      <c r="G29" s="4" t="s">
        <v>4</v>
      </c>
    </row>
    <row r="30" spans="6:8" x14ac:dyDescent="0.15">
      <c r="F30" s="6"/>
    </row>
    <row r="31" spans="6:8" ht="16.5" x14ac:dyDescent="0.15">
      <c r="F31" s="5" t="s">
        <v>6</v>
      </c>
      <c r="G31" s="4" t="s">
        <v>5</v>
      </c>
    </row>
    <row r="32" spans="6:8" x14ac:dyDescent="0.15">
      <c r="F32" s="6"/>
    </row>
    <row r="33" spans="6:8" ht="16.5" x14ac:dyDescent="0.15">
      <c r="F33" s="5" t="s">
        <v>10</v>
      </c>
      <c r="G33" s="4" t="s">
        <v>11</v>
      </c>
    </row>
    <row r="34" spans="6:8" x14ac:dyDescent="0.15">
      <c r="F34" s="6"/>
    </row>
    <row r="35" spans="6:8" ht="16.5" x14ac:dyDescent="0.15">
      <c r="F35" s="5" t="s">
        <v>12</v>
      </c>
      <c r="G35" s="4" t="s">
        <v>13</v>
      </c>
    </row>
    <row r="36" spans="6:8" x14ac:dyDescent="0.15">
      <c r="F36" s="6"/>
    </row>
    <row r="37" spans="6:8" ht="16.5" x14ac:dyDescent="0.15">
      <c r="F37" s="5" t="s">
        <v>64</v>
      </c>
      <c r="G37" s="4">
        <v>7</v>
      </c>
    </row>
    <row r="38" spans="6:8" x14ac:dyDescent="0.15">
      <c r="F38" s="6"/>
    </row>
    <row r="39" spans="6:8" ht="16.5" x14ac:dyDescent="0.15">
      <c r="F39" s="5" t="s">
        <v>115</v>
      </c>
      <c r="G39" s="4">
        <v>7</v>
      </c>
    </row>
    <row r="40" spans="6:8" x14ac:dyDescent="0.15">
      <c r="F40" s="6"/>
    </row>
    <row r="41" spans="6:8" ht="16.5" x14ac:dyDescent="0.15">
      <c r="F41" s="5" t="s">
        <v>120</v>
      </c>
      <c r="G41" s="4" t="s">
        <v>122</v>
      </c>
      <c r="H41" s="3" t="s">
        <v>0</v>
      </c>
    </row>
    <row r="42" spans="6:8" x14ac:dyDescent="0.15">
      <c r="F42" s="6"/>
    </row>
    <row r="43" spans="6:8" ht="16.5" x14ac:dyDescent="0.15">
      <c r="F43" s="5" t="s">
        <v>121</v>
      </c>
      <c r="G43" s="4" t="s">
        <v>61</v>
      </c>
      <c r="H43" s="3" t="s">
        <v>0</v>
      </c>
    </row>
    <row r="44" spans="6:8" x14ac:dyDescent="0.15">
      <c r="F44" s="6"/>
    </row>
    <row r="45" spans="6:8" ht="16.5" x14ac:dyDescent="0.15">
      <c r="F45" s="5" t="s">
        <v>117</v>
      </c>
      <c r="G45" s="4">
        <v>9</v>
      </c>
    </row>
    <row r="46" spans="6:8" x14ac:dyDescent="0.15">
      <c r="F46" s="6"/>
    </row>
    <row r="47" spans="6:8" ht="16.5" x14ac:dyDescent="0.15">
      <c r="F47" s="5" t="s">
        <v>116</v>
      </c>
      <c r="G47" s="4">
        <v>10</v>
      </c>
    </row>
    <row r="48" spans="6:8" x14ac:dyDescent="0.15">
      <c r="F48" s="6"/>
    </row>
    <row r="49" spans="6:7" ht="16.5" x14ac:dyDescent="0.15">
      <c r="F49" s="5" t="s">
        <v>118</v>
      </c>
      <c r="G49" s="4">
        <v>11</v>
      </c>
    </row>
    <row r="50" spans="6:7" x14ac:dyDescent="0.15">
      <c r="F50" s="6"/>
    </row>
    <row r="51" spans="6:7" ht="16.5" x14ac:dyDescent="0.15">
      <c r="F51" s="5" t="s">
        <v>119</v>
      </c>
      <c r="G51" s="4">
        <v>12</v>
      </c>
    </row>
    <row r="52" spans="6:7" x14ac:dyDescent="0.15">
      <c r="F52" s="6"/>
    </row>
    <row r="53" spans="6:7" ht="16.5" x14ac:dyDescent="0.15">
      <c r="F53" s="5" t="s">
        <v>49</v>
      </c>
      <c r="G53" s="4">
        <v>15</v>
      </c>
    </row>
    <row r="54" spans="6:7" x14ac:dyDescent="0.15">
      <c r="F54" s="6"/>
    </row>
    <row r="55" spans="6:7" ht="16.5" x14ac:dyDescent="0.15">
      <c r="F55" s="5" t="s">
        <v>50</v>
      </c>
      <c r="G55" s="4">
        <v>9</v>
      </c>
    </row>
    <row r="56" spans="6:7" x14ac:dyDescent="0.15">
      <c r="F56" s="6"/>
    </row>
    <row r="57" spans="6:7" ht="16.5" x14ac:dyDescent="0.15">
      <c r="F57" s="5" t="s">
        <v>25</v>
      </c>
      <c r="G57" s="4">
        <v>1</v>
      </c>
    </row>
    <row r="58" spans="6:7" x14ac:dyDescent="0.15">
      <c r="F58" s="6"/>
    </row>
    <row r="59" spans="6:7" ht="16.5" x14ac:dyDescent="0.15">
      <c r="F59" s="5" t="s">
        <v>48</v>
      </c>
      <c r="G59" s="4">
        <v>2</v>
      </c>
    </row>
    <row r="60" spans="6:7" x14ac:dyDescent="0.15">
      <c r="F60" s="6"/>
    </row>
    <row r="61" spans="6:7" ht="16.5" x14ac:dyDescent="0.15">
      <c r="F61" s="5" t="s">
        <v>58</v>
      </c>
      <c r="G61" s="4">
        <v>17</v>
      </c>
    </row>
    <row r="62" spans="6:7" x14ac:dyDescent="0.15">
      <c r="F62" s="6"/>
    </row>
    <row r="63" spans="6:7" ht="16.5" x14ac:dyDescent="0.15">
      <c r="F63" s="5" t="s">
        <v>3</v>
      </c>
      <c r="G63" s="4">
        <v>9</v>
      </c>
    </row>
    <row r="64" spans="6:7" x14ac:dyDescent="0.15">
      <c r="F64" s="6"/>
    </row>
    <row r="65" spans="6:7" ht="16.5" x14ac:dyDescent="0.15">
      <c r="F65" s="5" t="s">
        <v>9</v>
      </c>
      <c r="G65" s="4">
        <v>8</v>
      </c>
    </row>
    <row r="66" spans="6:7" x14ac:dyDescent="0.15">
      <c r="F66" s="6"/>
    </row>
    <row r="67" spans="6:7" ht="16.5" x14ac:dyDescent="0.15">
      <c r="F67" s="5" t="s">
        <v>57</v>
      </c>
      <c r="G67" s="4">
        <v>4</v>
      </c>
    </row>
    <row r="69" spans="6:7" ht="16.5" x14ac:dyDescent="0.15">
      <c r="F69" s="5" t="s">
        <v>110</v>
      </c>
      <c r="G69" s="4" t="s">
        <v>27</v>
      </c>
    </row>
    <row r="71" spans="6:7" ht="16.5" x14ac:dyDescent="0.15">
      <c r="F71" s="5" t="s">
        <v>106</v>
      </c>
      <c r="G71" s="4" t="s">
        <v>105</v>
      </c>
    </row>
    <row r="73" spans="6:7" ht="16.5" x14ac:dyDescent="0.15">
      <c r="F73" s="5" t="s">
        <v>137</v>
      </c>
      <c r="G73" s="4" t="s">
        <v>114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102</v>
      </c>
      <c r="D6" s="4" t="s">
        <v>151</v>
      </c>
      <c r="E6" s="19" t="s">
        <v>101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2"/>
  <sheetViews>
    <sheetView workbookViewId="0">
      <selection activeCell="B3" sqref="B3"/>
    </sheetView>
  </sheetViews>
  <sheetFormatPr defaultRowHeight="13.5" x14ac:dyDescent="0.15"/>
  <cols>
    <col min="2" max="2" width="10.5" bestFit="1" customWidth="1"/>
    <col min="3" max="3" width="16.375" customWidth="1"/>
  </cols>
  <sheetData>
    <row r="1" spans="2:3" x14ac:dyDescent="0.15">
      <c r="B1" t="s">
        <v>126</v>
      </c>
      <c r="C1" t="s">
        <v>127</v>
      </c>
    </row>
    <row r="2" spans="2:3" x14ac:dyDescent="0.15">
      <c r="B2" s="20">
        <v>43125</v>
      </c>
      <c r="C2" t="s">
        <v>128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3"/>
  <sheetViews>
    <sheetView workbookViewId="0">
      <selection activeCell="D9" sqref="D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3" ht="32.25" customHeight="1" x14ac:dyDescent="0.15"/>
    <row r="4" spans="2:3" x14ac:dyDescent="0.15">
      <c r="B4" s="22" t="s">
        <v>129</v>
      </c>
    </row>
    <row r="5" spans="2:3" x14ac:dyDescent="0.15">
      <c r="B5" s="21" t="s">
        <v>130</v>
      </c>
    </row>
    <row r="7" spans="2:3" x14ac:dyDescent="0.15">
      <c r="B7" s="22" t="s">
        <v>131</v>
      </c>
    </row>
    <row r="8" spans="2:3" x14ac:dyDescent="0.15">
      <c r="B8" s="21" t="s">
        <v>132</v>
      </c>
    </row>
    <row r="9" spans="2:3" x14ac:dyDescent="0.15">
      <c r="B9" s="21" t="s">
        <v>133</v>
      </c>
    </row>
    <row r="10" spans="2:3" x14ac:dyDescent="0.15">
      <c r="B10" s="21" t="s">
        <v>134</v>
      </c>
    </row>
    <row r="12" spans="2:3" x14ac:dyDescent="0.15">
      <c r="B12" s="22" t="s">
        <v>135</v>
      </c>
    </row>
    <row r="13" spans="2:3" x14ac:dyDescent="0.15">
      <c r="B13" s="21" t="s">
        <v>136</v>
      </c>
      <c r="C13" s="21">
        <v>0.9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2018-12-24T04:06:16Z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