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003BW8V\Desktop\1\"/>
    </mc:Choice>
  </mc:AlternateContent>
  <xr:revisionPtr revIDLastSave="0" documentId="13_ncr:1_{972C1B7F-6BE4-41B9-B5DD-B43A9A6D851D}" xr6:coauthVersionLast="36" xr6:coauthVersionMax="36" xr10:uidLastSave="{00000000-0000-0000-0000-000000000000}"/>
  <bookViews>
    <workbookView xWindow="9060" yWindow="-20" windowWidth="9260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actions" sheetId="11" state="hidden" r:id="rId8"/>
    <sheet name="core_setup" sheetId="4" r:id="rId9"/>
    <sheet name="core_display_setup" sheetId="12" state="hidden" r:id="rId10"/>
    <sheet name="core_changelog" sheetId="13" state="hidden" r:id="rId11"/>
    <sheet name="core_about" sheetId="14" state="hidden" r:id="rId12"/>
    <sheet name="if_findpic" sheetId="15" state="hidden" r:id="rId13"/>
  </sheets>
  <functionGroups builtInGroupCount="19"/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3" l="1"/>
  <c r="F12" i="3"/>
  <c r="F9" i="3"/>
</calcChain>
</file>

<file path=xl/sharedStrings.xml><?xml version="1.0" encoding="utf-8"?>
<sst xmlns="http://schemas.openxmlformats.org/spreadsheetml/2006/main" count="254" uniqueCount="217">
  <si>
    <t>(Y or N)</t>
    <phoneticPr fontId="1" type="noConversion"/>
  </si>
  <si>
    <t>C:\123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</si>
  <si>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</si>
  <si>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</si>
  <si>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</si>
  <si>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</si>
  <si>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</si>
  <si>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</si>
  <si>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</si>
  <si>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</si>
  <si>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</si>
  <si>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</si>
  <si>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</si>
  <si>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</si>
  <si>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</si>
  <si>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</si>
  <si>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count03</t>
  </si>
  <si>
    <t>count04</t>
  </si>
  <si>
    <t>count05</t>
  </si>
  <si>
    <t>count06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</si>
  <si>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</si>
  <si>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</si>
  <si>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</si>
  <si>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</si>
  <si>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</si>
  <si>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</si>
  <si>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</si>
  <si>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</si>
  <si>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</si>
  <si>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</si>
  <si>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</si>
  <si>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</si>
  <si>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</si>
  <si>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</si>
  <si>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</si>
  <si>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</si>
  <si>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&lt;-sample02</t>
    <phoneticPr fontId="1" type="noConversion"/>
  </si>
  <si>
    <t>&lt;-sample03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</si>
  <si>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</si>
  <si>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</si>
  <si>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</si>
  <si>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</si>
  <si>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</si>
  <si>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</si>
  <si>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</si>
  <si>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</si>
  <si>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G16</t>
    <phoneticPr fontId="1" type="noConversion"/>
  </si>
  <si>
    <t>G17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</si>
  <si>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</si>
  <si>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</si>
  <si>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</si>
  <si>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</si>
  <si>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X8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</si>
  <si>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</si>
  <si>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</si>
  <si>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</si>
  <si>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</si>
  <si>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</si>
  <si>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</si>
  <si>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a_AddOne(Whichcount As String)</t>
    <phoneticPr fontId="1" type="noConversion"/>
  </si>
  <si>
    <t>为指定的count加1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</si>
  <si>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</si>
  <si>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</si>
  <si>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</si>
  <si>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X8</t>
    <phoneticPr fontId="1" type="noConversion"/>
  </si>
  <si>
    <t>空程序</t>
    <phoneticPr fontId="1" type="noConversion"/>
  </si>
  <si>
    <t>Y</t>
    <phoneticPr fontId="1" type="noConversion"/>
  </si>
  <si>
    <t>V</t>
  </si>
  <si>
    <t>X8</t>
    <phoneticPr fontId="1" type="noConversion"/>
  </si>
  <si>
    <t>IFdisplayinScreenCol</t>
    <phoneticPr fontId="1" type="noConversion"/>
  </si>
  <si>
    <t>Engine Loop</t>
    <phoneticPr fontId="1" type="noConversion"/>
  </si>
  <si>
    <t>a_ReduceOne(Whichcount As String)</t>
    <phoneticPr fontId="1" type="noConversion"/>
  </si>
  <si>
    <t>为count原有的值减少1</t>
  </si>
  <si>
    <t>a_BeZero(Whichcount As String)</t>
    <phoneticPr fontId="1" type="noConversion"/>
  </si>
  <si>
    <t>设置count的值为0</t>
    <phoneticPr fontId="1" type="noConversion"/>
  </si>
  <si>
    <t>a_BeOne(Whichcount As String)</t>
    <phoneticPr fontId="1" type="noConversion"/>
  </si>
  <si>
    <t>设置count的值为1</t>
    <phoneticPr fontId="1" type="noConversion"/>
  </si>
  <si>
    <t>a_ShapeShow(PS As String)</t>
    <phoneticPr fontId="1" type="noConversion"/>
  </si>
  <si>
    <t>显示备注，which放在图形中</t>
    <phoneticPr fontId="1" type="noConversion"/>
  </si>
  <si>
    <t>a_ShapeHide()</t>
    <phoneticPr fontId="1" type="noConversion"/>
  </si>
  <si>
    <t>隐藏备注</t>
    <phoneticPr fontId="1" type="noConversion"/>
  </si>
  <si>
    <t>a_OpenOne()</t>
    <phoneticPr fontId="1" type="noConversion"/>
  </si>
  <si>
    <t>设置one引擎能被打开</t>
    <phoneticPr fontId="1" type="noConversion"/>
  </si>
  <si>
    <t>a_CloseOne()</t>
    <phoneticPr fontId="1" type="noConversion"/>
  </si>
  <si>
    <t>设置one引擎不能被打开</t>
    <phoneticPr fontId="1" type="noConversion"/>
  </si>
  <si>
    <t>a_OpenActions()</t>
    <phoneticPr fontId="1" type="noConversion"/>
  </si>
  <si>
    <t>打开执行动作功能</t>
    <phoneticPr fontId="1" type="noConversion"/>
  </si>
  <si>
    <t>a_CloseActions()</t>
    <phoneticPr fontId="1" type="noConversion"/>
  </si>
  <si>
    <t>关闭执行动作功能</t>
    <phoneticPr fontId="1" type="noConversion"/>
  </si>
  <si>
    <t>a_IniExcelName()</t>
    <phoneticPr fontId="1" type="noConversion"/>
  </si>
  <si>
    <t>把excel工作簿本身的名字，写入 setup</t>
    <phoneticPr fontId="1" type="noConversion"/>
  </si>
  <si>
    <t>a_SimpleExcel(TrueOrFalse As String)</t>
    <phoneticPr fontId="1" type="noConversion"/>
  </si>
  <si>
    <t>是否简单化excelsheet页的显示 让他看上去更像一个程序</t>
    <phoneticPr fontId="1" type="noConversion"/>
  </si>
  <si>
    <t>a_ShowExcelSize(MinNormalMax As String)</t>
    <phoneticPr fontId="1" type="noConversion"/>
  </si>
  <si>
    <t>最大化，最小化，正常化excel工具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</si>
  <si>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</si>
  <si>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</si>
  <si>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</si>
  <si>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a_ShowPage(pagename As String)</t>
    <phoneticPr fontId="1" type="noConversion"/>
  </si>
  <si>
    <t>显示指定的sheet</t>
    <phoneticPr fontId="1" type="noConversion"/>
  </si>
  <si>
    <t>a_ShowPage "core_homepage"</t>
    <phoneticPr fontId="1" type="noConversion"/>
  </si>
  <si>
    <t>When One Start</t>
    <phoneticPr fontId="11" type="noConversion"/>
  </si>
  <si>
    <t>X8</t>
    <phoneticPr fontId="11" type="noConversion"/>
  </si>
  <si>
    <t>a_BeZero "count02"</t>
    <phoneticPr fontId="11" type="noConversion"/>
  </si>
  <si>
    <t>When One End</t>
    <phoneticPr fontId="11" type="noConversion"/>
  </si>
  <si>
    <t>X8</t>
    <phoneticPr fontId="11" type="noConversion"/>
  </si>
  <si>
    <t>simple or pro</t>
    <phoneticPr fontId="1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</si>
  <si>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</si>
  <si>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</si>
  <si>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</si>
  <si>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</si>
  <si>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Logfolder</t>
    <phoneticPr fontId="1" type="noConversion"/>
  </si>
  <si>
    <t>a_CheckFolder()</t>
    <phoneticPr fontId="1" type="noConversion"/>
  </si>
  <si>
    <t>检查指定的文件夹是否存在，不存在则创建</t>
    <phoneticPr fontId="1" type="noConversion"/>
  </si>
  <si>
    <t>a_CheckFolder</t>
    <phoneticPr fontId="1" type="noConversion"/>
  </si>
  <si>
    <t>LogSheet</t>
    <phoneticPr fontId="1" type="noConversion"/>
  </si>
  <si>
    <t>a_LogInTXT()</t>
    <phoneticPr fontId="1" type="noConversion"/>
  </si>
  <si>
    <t>将log 页里面的内容加入到TXT中，log页清空</t>
    <phoneticPr fontId="1" type="noConversion"/>
  </si>
  <si>
    <t>a_LogInTXT</t>
    <phoneticPr fontId="1" type="noConversion"/>
  </si>
  <si>
    <t>\pic\</t>
    <phoneticPr fontId="1" type="noConversion"/>
  </si>
  <si>
    <t>恐龙活着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</si>
  <si>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</si>
  <si>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</si>
  <si>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</si>
  <si>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</si>
  <si>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</si>
  <si>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</si>
  <si>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</si>
  <si>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</si>
  <si>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a_initialM00()</t>
    <phoneticPr fontId="1" type="noConversion"/>
  </si>
  <si>
    <t>将M00 中的值归0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</si>
  <si>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</si>
  <si>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</si>
  <si>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</si>
  <si>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核心架构0.9完成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</si>
  <si>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</si>
  <si>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</si>
  <si>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ACAK程序特点：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</si>
  <si>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</si>
  <si>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</si>
  <si>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</si>
  <si>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</si>
  <si>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</si>
  <si>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>目标bmp</t>
    <phoneticPr fontId="1" type="noConversion"/>
  </si>
  <si>
    <t>查找区域</t>
  </si>
  <si>
    <t>备注</t>
  </si>
  <si>
    <t>坐标</t>
  </si>
  <si>
    <t>a1</t>
    <phoneticPr fontId="1" type="noConversion"/>
  </si>
  <si>
    <t>T1</t>
  </si>
  <si>
    <t>T2</t>
    <phoneticPr fontId="11" type="noConversion"/>
  </si>
  <si>
    <t>X起点</t>
  </si>
  <si>
    <t>Y起点</t>
  </si>
  <si>
    <t>宽度</t>
  </si>
  <si>
    <t>高度</t>
  </si>
  <si>
    <t>T1</t>
    <phoneticPr fontId="1" type="noConversion"/>
  </si>
  <si>
    <t>查找恐龙</t>
    <phoneticPr fontId="1" type="noConversion"/>
  </si>
  <si>
    <t>picfolder</t>
    <phoneticPr fontId="1" type="noConversion"/>
  </si>
  <si>
    <t>J01</t>
    <phoneticPr fontId="1" type="noConversion"/>
  </si>
  <si>
    <t>J02</t>
  </si>
  <si>
    <t>J03</t>
  </si>
  <si>
    <t>J04</t>
  </si>
  <si>
    <t>J05</t>
  </si>
  <si>
    <t>J06</t>
  </si>
  <si>
    <t>J07</t>
  </si>
  <si>
    <t>J08</t>
  </si>
  <si>
    <t>活恐龙</t>
    <phoneticPr fontId="1" type="noConversion"/>
  </si>
  <si>
    <t>a_changeOneLoppNumber(loopnumber As Long)</t>
    <phoneticPr fontId="1" type="noConversion"/>
  </si>
  <si>
    <t>设置one引擎的运作次数</t>
    <phoneticPr fontId="1" type="noConversion"/>
  </si>
  <si>
    <t>a_SamplePicToDic()</t>
    <phoneticPr fontId="1" type="noConversion"/>
  </si>
  <si>
    <t>将findpic文件夹中文件的大小，都导入字典中，方便对比</t>
    <phoneticPr fontId="1" type="noConversion"/>
  </si>
  <si>
    <t>a_SamplePicToDic</t>
    <phoneticPr fontId="11" type="noConversion"/>
  </si>
  <si>
    <t>if_IFonFP "G15", "E", "And"</t>
    <phoneticPr fontId="1" type="noConversion"/>
  </si>
  <si>
    <t>194\191</t>
  </si>
  <si>
    <t>a2</t>
    <phoneticPr fontId="1" type="noConversion"/>
  </si>
  <si>
    <t>T2</t>
    <phoneticPr fontId="1" type="noConversion"/>
  </si>
  <si>
    <t>GAMEOVER</t>
    <phoneticPr fontId="1" type="noConversion"/>
  </si>
  <si>
    <t>if_IFonFP "G16", "F", "And"</t>
    <phoneticPr fontId="1" type="noConversion"/>
  </si>
  <si>
    <t>gameover</t>
    <phoneticPr fontId="1" type="noConversion"/>
  </si>
  <si>
    <t>gameover</t>
    <phoneticPr fontId="1" type="noConversion"/>
  </si>
  <si>
    <t>a3</t>
    <phoneticPr fontId="1" type="noConversion"/>
  </si>
  <si>
    <t>T3</t>
    <phoneticPr fontId="1" type="noConversion"/>
  </si>
  <si>
    <t>障碍</t>
    <phoneticPr fontId="1" type="noConversion"/>
  </si>
  <si>
    <t>T3</t>
    <phoneticPr fontId="11" type="noConversion"/>
  </si>
  <si>
    <t>遇到障碍</t>
    <phoneticPr fontId="1" type="noConversion"/>
  </si>
  <si>
    <t>if_IFonFP "G17", "G", "And"</t>
    <phoneticPr fontId="1" type="noConversion"/>
  </si>
  <si>
    <t>遇到障碍</t>
    <phoneticPr fontId="1" type="noConversion"/>
  </si>
  <si>
    <t xml:space="preserve"> </t>
    <phoneticPr fontId="1" type="noConversion"/>
  </si>
  <si>
    <t>a41</t>
    <phoneticPr fontId="1" type="noConversion"/>
  </si>
  <si>
    <t>a42</t>
    <phoneticPr fontId="1" type="noConversion"/>
  </si>
  <si>
    <t>a43</t>
    <phoneticPr fontId="1" type="noConversion"/>
  </si>
  <si>
    <t>a44</t>
    <phoneticPr fontId="1" type="noConversion"/>
  </si>
  <si>
    <t>T4</t>
    <phoneticPr fontId="11" type="noConversion"/>
  </si>
  <si>
    <t>T4</t>
    <phoneticPr fontId="1" type="noConversion"/>
  </si>
  <si>
    <t>树</t>
    <phoneticPr fontId="1" type="noConversion"/>
  </si>
  <si>
    <t>G18</t>
    <phoneticPr fontId="1" type="noConversion"/>
  </si>
  <si>
    <t>if_IFonFP "G18", "H", "Or"</t>
    <phoneticPr fontId="1" type="noConversion"/>
  </si>
  <si>
    <t>遇到树</t>
    <phoneticPr fontId="1" type="noConversion"/>
  </si>
  <si>
    <t>遇到树</t>
    <phoneticPr fontId="1" type="noConversion"/>
  </si>
  <si>
    <t>a_MouseMove(ByVal x As Long, ByVal y As Long, ByVal ttime As Long)</t>
    <phoneticPr fontId="1" type="noConversion"/>
  </si>
  <si>
    <t>鼠标移动</t>
    <phoneticPr fontId="1" type="noConversion"/>
  </si>
  <si>
    <t>a_MouseClick(ByVal L0R1 As String, ByVal ttime As Long)</t>
    <phoneticPr fontId="1" type="noConversion"/>
  </si>
  <si>
    <t>鼠标点击</t>
    <phoneticPr fontId="1" type="noConversion"/>
  </si>
  <si>
    <t>a_SendKeyss(keys As String)</t>
  </si>
  <si>
    <t>模拟键盘输入</t>
    <phoneticPr fontId="1" type="noConversion"/>
  </si>
  <si>
    <t>a_MouseClick 0,100</t>
    <phoneticPr fontId="1" type="noConversion"/>
  </si>
  <si>
    <t>Done</t>
    <phoneticPr fontId="1" type="noConversion"/>
  </si>
  <si>
    <t>a_MouseClick 0,500</t>
    <phoneticPr fontId="1" type="noConversion"/>
  </si>
  <si>
    <t>a_SendKeyss " "</t>
    <phoneticPr fontId="1" type="noConversion"/>
  </si>
  <si>
    <t>a_MouseMove 211,560,100</t>
    <phoneticPr fontId="1" type="noConversion"/>
  </si>
  <si>
    <t>a_MouseMove 321,218,100</t>
    <phoneticPr fontId="1" type="noConversion"/>
  </si>
  <si>
    <t>a_MouseClick 0,300</t>
    <phoneticPr fontId="1" type="noConversion"/>
  </si>
  <si>
    <t>Y</t>
    <phoneticPr fontId="1" type="noConversion"/>
  </si>
  <si>
    <t>462\210</t>
  </si>
  <si>
    <t>pro</t>
  </si>
  <si>
    <t>a_MouseMove 211,560,100</t>
  </si>
  <si>
    <t>a_IniExcelName</t>
  </si>
  <si>
    <t>ACAK 09.xlsm -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</si>
</sst>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Calibri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1" tint="4.9989318521683403E-2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5F5F5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11" borderId="0" xfId="0" applyFont="1" applyFill="1">
      <alignment vertical="center"/>
    </xf>
    <xf numFmtId="0" fontId="10" fillId="13" borderId="0" xfId="0" applyFont="1" applyFill="1" applyAlignment="1"/>
    <xf numFmtId="0" fontId="0" fillId="3" borderId="0" xfId="0" applyFill="1" applyAlignment="1"/>
    <xf numFmtId="0" fontId="0" fillId="14" borderId="0" xfId="0" applyFill="1">
      <alignment vertical="center"/>
    </xf>
    <xf numFmtId="0" fontId="2" fillId="14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0" fillId="6" borderId="1" xfId="0" applyFill="1" applyBorder="1" applyAlignment="1"/>
    <xf numFmtId="0" fontId="13" fillId="15" borderId="0" xfId="0" applyFont="1" applyFill="1" applyAlignment="1"/>
    <xf numFmtId="0" fontId="8" fillId="13" borderId="2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left" vertical="center"/>
    </xf>
    <xf numFmtId="0" fontId="8" fillId="16" borderId="2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一次状态检查</a:t>
          </a:r>
          <a:endParaRPr lang="en-US" sz="11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/>
            <a:t>发动</a:t>
          </a:r>
          <a:r>
            <a:rPr lang="en-US" sz="12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开启</a:t>
          </a:r>
          <a:endParaRPr lang="en-US" altLang="zh-CN" sz="1100"/>
        </a:p>
        <a:p>
          <a:pPr algn="l"/>
          <a:r>
            <a:rPr lang="en-US" altLang="zh-CN" sz="11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开启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动作</a:t>
          </a:r>
          <a:endParaRPr lang="en-US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  <a:p>
          <a:pPr algn="l"/>
          <a:r>
            <a:rPr lang="en-US" altLang="zh-CN" sz="11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  <a:p>
          <a:pPr algn="l"/>
          <a:r>
            <a:rPr lang="zh-CN" altLang="en-US" sz="1100"/>
            <a:t>动作</a:t>
          </a:r>
          <a:endParaRPr lang="en-US" altLang="zh-CN" sz="11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引擎最大允许运行次数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61705</xdr:colOff>
      <xdr:row>7</xdr:row>
      <xdr:rowOff>231914</xdr:rowOff>
    </xdr:from>
    <xdr:to>
      <xdr:col>13</xdr:col>
      <xdr:colOff>612938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61705</xdr:colOff>
      <xdr:row>8</xdr:row>
      <xdr:rowOff>223631</xdr:rowOff>
    </xdr:from>
    <xdr:to>
      <xdr:col>13</xdr:col>
      <xdr:colOff>612938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66261</xdr:colOff>
      <xdr:row>9</xdr:row>
      <xdr:rowOff>198783</xdr:rowOff>
    </xdr:from>
    <xdr:to>
      <xdr:col>13</xdr:col>
      <xdr:colOff>617494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74544</xdr:colOff>
      <xdr:row>11</xdr:row>
      <xdr:rowOff>41413</xdr:rowOff>
    </xdr:from>
    <xdr:to>
      <xdr:col>13</xdr:col>
      <xdr:colOff>625777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17</xdr:row>
      <xdr:rowOff>4479</xdr:rowOff>
    </xdr:from>
    <xdr:to>
      <xdr:col>8</xdr:col>
      <xdr:colOff>483454</xdr:colOff>
      <xdr:row>21</xdr:row>
      <xdr:rowOff>19706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16</xdr:row>
      <xdr:rowOff>197069</xdr:rowOff>
    </xdr:from>
    <xdr:to>
      <xdr:col>10</xdr:col>
      <xdr:colOff>461656</xdr:colOff>
      <xdr:row>21</xdr:row>
      <xdr:rowOff>2090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16</xdr:row>
      <xdr:rowOff>203638</xdr:rowOff>
    </xdr:from>
    <xdr:to>
      <xdr:col>11</xdr:col>
      <xdr:colOff>481363</xdr:colOff>
      <xdr:row>21</xdr:row>
      <xdr:rowOff>8659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22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17</xdr:row>
      <xdr:rowOff>197069</xdr:rowOff>
    </xdr:from>
    <xdr:to>
      <xdr:col>10</xdr:col>
      <xdr:colOff>461656</xdr:colOff>
      <xdr:row>22</xdr:row>
      <xdr:rowOff>2090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17</xdr:row>
      <xdr:rowOff>203638</xdr:rowOff>
    </xdr:from>
    <xdr:to>
      <xdr:col>11</xdr:col>
      <xdr:colOff>481363</xdr:colOff>
      <xdr:row>22</xdr:row>
      <xdr:rowOff>8659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19706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18</xdr:row>
      <xdr:rowOff>197069</xdr:rowOff>
    </xdr:from>
    <xdr:to>
      <xdr:col>10</xdr:col>
      <xdr:colOff>461656</xdr:colOff>
      <xdr:row>23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18</xdr:row>
      <xdr:rowOff>203638</xdr:rowOff>
    </xdr:from>
    <xdr:to>
      <xdr:col>11</xdr:col>
      <xdr:colOff>481363</xdr:colOff>
      <xdr:row>24</xdr:row>
      <xdr:rowOff>8190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19706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19</xdr:row>
      <xdr:rowOff>197069</xdr:rowOff>
    </xdr:from>
    <xdr:to>
      <xdr:col>10</xdr:col>
      <xdr:colOff>461656</xdr:colOff>
      <xdr:row>25</xdr:row>
      <xdr:rowOff>2090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19</xdr:row>
      <xdr:rowOff>203638</xdr:rowOff>
    </xdr:from>
    <xdr:to>
      <xdr:col>11</xdr:col>
      <xdr:colOff>481363</xdr:colOff>
      <xdr:row>25</xdr:row>
      <xdr:rowOff>8659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20</xdr:row>
      <xdr:rowOff>197069</xdr:rowOff>
    </xdr:from>
    <xdr:to>
      <xdr:col>10</xdr:col>
      <xdr:colOff>461656</xdr:colOff>
      <xdr:row>26</xdr:row>
      <xdr:rowOff>2090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20</xdr:row>
      <xdr:rowOff>203638</xdr:rowOff>
    </xdr:from>
    <xdr:to>
      <xdr:col>11</xdr:col>
      <xdr:colOff>481363</xdr:colOff>
      <xdr:row>26</xdr:row>
      <xdr:rowOff>8659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22</xdr:row>
      <xdr:rowOff>4479</xdr:rowOff>
    </xdr:from>
    <xdr:to>
      <xdr:col>8</xdr:col>
      <xdr:colOff>483454</xdr:colOff>
      <xdr:row>27</xdr:row>
      <xdr:rowOff>19706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27</xdr:row>
      <xdr:rowOff>15227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21</xdr:row>
      <xdr:rowOff>197069</xdr:rowOff>
    </xdr:from>
    <xdr:to>
      <xdr:col>10</xdr:col>
      <xdr:colOff>461656</xdr:colOff>
      <xdr:row>27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21</xdr:row>
      <xdr:rowOff>203638</xdr:rowOff>
    </xdr:from>
    <xdr:to>
      <xdr:col>11</xdr:col>
      <xdr:colOff>481363</xdr:colOff>
      <xdr:row>27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23</xdr:row>
      <xdr:rowOff>4479</xdr:rowOff>
    </xdr:from>
    <xdr:to>
      <xdr:col>8</xdr:col>
      <xdr:colOff>483454</xdr:colOff>
      <xdr:row>28</xdr:row>
      <xdr:rowOff>19707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23</xdr:row>
      <xdr:rowOff>0</xdr:rowOff>
    </xdr:from>
    <xdr:to>
      <xdr:col>9</xdr:col>
      <xdr:colOff>474794</xdr:colOff>
      <xdr:row>28</xdr:row>
      <xdr:rowOff>15228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22</xdr:row>
      <xdr:rowOff>197069</xdr:rowOff>
    </xdr:from>
    <xdr:to>
      <xdr:col>10</xdr:col>
      <xdr:colOff>461656</xdr:colOff>
      <xdr:row>28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22</xdr:row>
      <xdr:rowOff>203638</xdr:rowOff>
    </xdr:from>
    <xdr:to>
      <xdr:col>11</xdr:col>
      <xdr:colOff>481363</xdr:colOff>
      <xdr:row>28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24</xdr:row>
      <xdr:rowOff>4479</xdr:rowOff>
    </xdr:from>
    <xdr:to>
      <xdr:col>8</xdr:col>
      <xdr:colOff>483454</xdr:colOff>
      <xdr:row>29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24</xdr:row>
      <xdr:rowOff>0</xdr:rowOff>
    </xdr:from>
    <xdr:to>
      <xdr:col>9</xdr:col>
      <xdr:colOff>474794</xdr:colOff>
      <xdr:row>29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23</xdr:row>
      <xdr:rowOff>197069</xdr:rowOff>
    </xdr:from>
    <xdr:to>
      <xdr:col>10</xdr:col>
      <xdr:colOff>461656</xdr:colOff>
      <xdr:row>29</xdr:row>
      <xdr:rowOff>2091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249621</xdr:colOff>
      <xdr:row>23</xdr:row>
      <xdr:rowOff>203638</xdr:rowOff>
    </xdr:from>
    <xdr:to>
      <xdr:col>11</xdr:col>
      <xdr:colOff>481363</xdr:colOff>
      <xdr:row>29</xdr:row>
      <xdr:rowOff>8660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17</xdr:row>
      <xdr:rowOff>0</xdr:rowOff>
    </xdr:from>
    <xdr:to>
      <xdr:col>10</xdr:col>
      <xdr:colOff>474794</xdr:colOff>
      <xdr:row>21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27</xdr:row>
      <xdr:rowOff>19706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23</xdr:row>
      <xdr:rowOff>4479</xdr:rowOff>
    </xdr:from>
    <xdr:to>
      <xdr:col>9</xdr:col>
      <xdr:colOff>483454</xdr:colOff>
      <xdr:row>28</xdr:row>
      <xdr:rowOff>19707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24</xdr:row>
      <xdr:rowOff>4479</xdr:rowOff>
    </xdr:from>
    <xdr:to>
      <xdr:col>9</xdr:col>
      <xdr:colOff>483454</xdr:colOff>
      <xdr:row>29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17</xdr:row>
      <xdr:rowOff>0</xdr:rowOff>
    </xdr:from>
    <xdr:to>
      <xdr:col>11</xdr:col>
      <xdr:colOff>474794</xdr:colOff>
      <xdr:row>21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18</xdr:row>
      <xdr:rowOff>0</xdr:rowOff>
    </xdr:from>
    <xdr:to>
      <xdr:col>11</xdr:col>
      <xdr:colOff>474794</xdr:colOff>
      <xdr:row>22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27</xdr:row>
      <xdr:rowOff>19706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23</xdr:row>
      <xdr:rowOff>4479</xdr:rowOff>
    </xdr:from>
    <xdr:to>
      <xdr:col>10</xdr:col>
      <xdr:colOff>483454</xdr:colOff>
      <xdr:row>28</xdr:row>
      <xdr:rowOff>19707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24</xdr:row>
      <xdr:rowOff>4479</xdr:rowOff>
    </xdr:from>
    <xdr:to>
      <xdr:col>10</xdr:col>
      <xdr:colOff>483454</xdr:colOff>
      <xdr:row>29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243052</xdr:colOff>
      <xdr:row>17</xdr:row>
      <xdr:rowOff>0</xdr:rowOff>
    </xdr:from>
    <xdr:to>
      <xdr:col>12</xdr:col>
      <xdr:colOff>474794</xdr:colOff>
      <xdr:row>21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243052</xdr:colOff>
      <xdr:row>18</xdr:row>
      <xdr:rowOff>0</xdr:rowOff>
    </xdr:from>
    <xdr:to>
      <xdr:col>12</xdr:col>
      <xdr:colOff>474794</xdr:colOff>
      <xdr:row>22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24</xdr:row>
      <xdr:rowOff>19706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25</xdr:row>
      <xdr:rowOff>19706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26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22</xdr:row>
      <xdr:rowOff>4479</xdr:rowOff>
    </xdr:from>
    <xdr:to>
      <xdr:col>11</xdr:col>
      <xdr:colOff>483454</xdr:colOff>
      <xdr:row>27</xdr:row>
      <xdr:rowOff>19706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23</xdr:row>
      <xdr:rowOff>4479</xdr:rowOff>
    </xdr:from>
    <xdr:to>
      <xdr:col>11</xdr:col>
      <xdr:colOff>483454</xdr:colOff>
      <xdr:row>28</xdr:row>
      <xdr:rowOff>19707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24</xdr:row>
      <xdr:rowOff>4479</xdr:rowOff>
    </xdr:from>
    <xdr:to>
      <xdr:col>11</xdr:col>
      <xdr:colOff>483454</xdr:colOff>
      <xdr:row>29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251712</xdr:colOff>
      <xdr:row>17</xdr:row>
      <xdr:rowOff>4479</xdr:rowOff>
    </xdr:from>
    <xdr:to>
      <xdr:col>12</xdr:col>
      <xdr:colOff>483454</xdr:colOff>
      <xdr:row>21</xdr:row>
      <xdr:rowOff>19706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12</xdr:col>
      <xdr:colOff>251712</xdr:colOff>
      <xdr:row>18</xdr:row>
      <xdr:rowOff>4479</xdr:rowOff>
    </xdr:from>
    <xdr:to>
      <xdr:col>12</xdr:col>
      <xdr:colOff>483454</xdr:colOff>
      <xdr:row>22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17</xdr:row>
      <xdr:rowOff>0</xdr:rowOff>
    </xdr:from>
    <xdr:to>
      <xdr:col>10</xdr:col>
      <xdr:colOff>474794</xdr:colOff>
      <xdr:row>21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17</xdr:row>
      <xdr:rowOff>0</xdr:rowOff>
    </xdr:from>
    <xdr:to>
      <xdr:col>10</xdr:col>
      <xdr:colOff>474794</xdr:colOff>
      <xdr:row>21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17</xdr:row>
      <xdr:rowOff>0</xdr:rowOff>
    </xdr:from>
    <xdr:to>
      <xdr:col>10</xdr:col>
      <xdr:colOff>474794</xdr:colOff>
      <xdr:row>21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17</xdr:row>
      <xdr:rowOff>0</xdr:rowOff>
    </xdr:from>
    <xdr:to>
      <xdr:col>10</xdr:col>
      <xdr:colOff>474794</xdr:colOff>
      <xdr:row>21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17</xdr:row>
      <xdr:rowOff>197069</xdr:rowOff>
    </xdr:from>
    <xdr:to>
      <xdr:col>10</xdr:col>
      <xdr:colOff>461656</xdr:colOff>
      <xdr:row>22</xdr:row>
      <xdr:rowOff>2090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18</xdr:row>
      <xdr:rowOff>197069</xdr:rowOff>
    </xdr:from>
    <xdr:to>
      <xdr:col>10</xdr:col>
      <xdr:colOff>461656</xdr:colOff>
      <xdr:row>23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18</xdr:row>
      <xdr:rowOff>0</xdr:rowOff>
    </xdr:from>
    <xdr:to>
      <xdr:col>10</xdr:col>
      <xdr:colOff>474794</xdr:colOff>
      <xdr:row>22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24185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18</xdr:row>
      <xdr:rowOff>197069</xdr:rowOff>
    </xdr:from>
    <xdr:to>
      <xdr:col>10</xdr:col>
      <xdr:colOff>461656</xdr:colOff>
      <xdr:row>23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19</xdr:row>
      <xdr:rowOff>197069</xdr:rowOff>
    </xdr:from>
    <xdr:to>
      <xdr:col>10</xdr:col>
      <xdr:colOff>461656</xdr:colOff>
      <xdr:row>24</xdr:row>
      <xdr:rowOff>2090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15228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19707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19</xdr:row>
      <xdr:rowOff>0</xdr:rowOff>
    </xdr:from>
    <xdr:to>
      <xdr:col>10</xdr:col>
      <xdr:colOff>474794</xdr:colOff>
      <xdr:row>23</xdr:row>
      <xdr:rowOff>15227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19</xdr:row>
      <xdr:rowOff>197069</xdr:rowOff>
    </xdr:from>
    <xdr:to>
      <xdr:col>10</xdr:col>
      <xdr:colOff>461656</xdr:colOff>
      <xdr:row>24</xdr:row>
      <xdr:rowOff>2090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19</xdr:row>
      <xdr:rowOff>197069</xdr:rowOff>
    </xdr:from>
    <xdr:to>
      <xdr:col>10</xdr:col>
      <xdr:colOff>461656</xdr:colOff>
      <xdr:row>24</xdr:row>
      <xdr:rowOff>2090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20</xdr:row>
      <xdr:rowOff>197069</xdr:rowOff>
    </xdr:from>
    <xdr:to>
      <xdr:col>10</xdr:col>
      <xdr:colOff>461656</xdr:colOff>
      <xdr:row>25</xdr:row>
      <xdr:rowOff>2090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24185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24185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24185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24185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24185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20</xdr:row>
      <xdr:rowOff>0</xdr:rowOff>
    </xdr:from>
    <xdr:to>
      <xdr:col>10</xdr:col>
      <xdr:colOff>474794</xdr:colOff>
      <xdr:row>24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24185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24185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20</xdr:row>
      <xdr:rowOff>197069</xdr:rowOff>
    </xdr:from>
    <xdr:to>
      <xdr:col>10</xdr:col>
      <xdr:colOff>461656</xdr:colOff>
      <xdr:row>25</xdr:row>
      <xdr:rowOff>2090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20</xdr:row>
      <xdr:rowOff>197069</xdr:rowOff>
    </xdr:from>
    <xdr:to>
      <xdr:col>10</xdr:col>
      <xdr:colOff>461656</xdr:colOff>
      <xdr:row>25</xdr:row>
      <xdr:rowOff>2090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26</xdr:row>
      <xdr:rowOff>15227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21</xdr:row>
      <xdr:rowOff>197069</xdr:rowOff>
    </xdr:from>
    <xdr:to>
      <xdr:col>10</xdr:col>
      <xdr:colOff>461656</xdr:colOff>
      <xdr:row>26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24185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24185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24185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24185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24185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21</xdr:row>
      <xdr:rowOff>0</xdr:rowOff>
    </xdr:from>
    <xdr:to>
      <xdr:col>10</xdr:col>
      <xdr:colOff>474794</xdr:colOff>
      <xdr:row>25</xdr:row>
      <xdr:rowOff>15227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24185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21</xdr:row>
      <xdr:rowOff>4479</xdr:rowOff>
    </xdr:from>
    <xdr:to>
      <xdr:col>10</xdr:col>
      <xdr:colOff>483454</xdr:colOff>
      <xdr:row>25</xdr:row>
      <xdr:rowOff>19706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24185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26</xdr:row>
      <xdr:rowOff>15227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229914</xdr:colOff>
      <xdr:row>21</xdr:row>
      <xdr:rowOff>197069</xdr:rowOff>
    </xdr:from>
    <xdr:to>
      <xdr:col>10</xdr:col>
      <xdr:colOff>461656</xdr:colOff>
      <xdr:row>26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22</xdr:row>
      <xdr:rowOff>0</xdr:rowOff>
    </xdr:from>
    <xdr:to>
      <xdr:col>10</xdr:col>
      <xdr:colOff>474794</xdr:colOff>
      <xdr:row>26</xdr:row>
      <xdr:rowOff>15227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22</xdr:row>
      <xdr:rowOff>4479</xdr:rowOff>
    </xdr:from>
    <xdr:to>
      <xdr:col>10</xdr:col>
      <xdr:colOff>483454</xdr:colOff>
      <xdr:row>26</xdr:row>
      <xdr:rowOff>19706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17</xdr:row>
      <xdr:rowOff>0</xdr:rowOff>
    </xdr:from>
    <xdr:to>
      <xdr:col>11</xdr:col>
      <xdr:colOff>474794</xdr:colOff>
      <xdr:row>21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18</xdr:row>
      <xdr:rowOff>0</xdr:rowOff>
    </xdr:from>
    <xdr:to>
      <xdr:col>11</xdr:col>
      <xdr:colOff>474794</xdr:colOff>
      <xdr:row>22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18</xdr:row>
      <xdr:rowOff>0</xdr:rowOff>
    </xdr:from>
    <xdr:to>
      <xdr:col>11</xdr:col>
      <xdr:colOff>474794</xdr:colOff>
      <xdr:row>22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19</xdr:row>
      <xdr:rowOff>0</xdr:rowOff>
    </xdr:from>
    <xdr:to>
      <xdr:col>11</xdr:col>
      <xdr:colOff>474794</xdr:colOff>
      <xdr:row>23</xdr:row>
      <xdr:rowOff>15227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24185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24185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24185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24185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24185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24185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19</xdr:row>
      <xdr:rowOff>0</xdr:rowOff>
    </xdr:from>
    <xdr:to>
      <xdr:col>11</xdr:col>
      <xdr:colOff>474794</xdr:colOff>
      <xdr:row>23</xdr:row>
      <xdr:rowOff>15227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17</xdr:row>
      <xdr:rowOff>4479</xdr:rowOff>
    </xdr:from>
    <xdr:to>
      <xdr:col>10</xdr:col>
      <xdr:colOff>483454</xdr:colOff>
      <xdr:row>21</xdr:row>
      <xdr:rowOff>19706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17</xdr:row>
      <xdr:rowOff>0</xdr:rowOff>
    </xdr:from>
    <xdr:to>
      <xdr:col>11</xdr:col>
      <xdr:colOff>474794</xdr:colOff>
      <xdr:row>21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18</xdr:row>
      <xdr:rowOff>4479</xdr:rowOff>
    </xdr:from>
    <xdr:to>
      <xdr:col>10</xdr:col>
      <xdr:colOff>483454</xdr:colOff>
      <xdr:row>22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18</xdr:row>
      <xdr:rowOff>0</xdr:rowOff>
    </xdr:from>
    <xdr:to>
      <xdr:col>11</xdr:col>
      <xdr:colOff>474794</xdr:colOff>
      <xdr:row>22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17</xdr:row>
      <xdr:rowOff>4479</xdr:rowOff>
    </xdr:from>
    <xdr:to>
      <xdr:col>11</xdr:col>
      <xdr:colOff>483454</xdr:colOff>
      <xdr:row>21</xdr:row>
      <xdr:rowOff>19706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18</xdr:row>
      <xdr:rowOff>0</xdr:rowOff>
    </xdr:from>
    <xdr:to>
      <xdr:col>11</xdr:col>
      <xdr:colOff>474794</xdr:colOff>
      <xdr:row>22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18</xdr:row>
      <xdr:rowOff>4479</xdr:rowOff>
    </xdr:from>
    <xdr:to>
      <xdr:col>11</xdr:col>
      <xdr:colOff>483454</xdr:colOff>
      <xdr:row>22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19</xdr:row>
      <xdr:rowOff>4479</xdr:rowOff>
    </xdr:from>
    <xdr:to>
      <xdr:col>10</xdr:col>
      <xdr:colOff>483454</xdr:colOff>
      <xdr:row>23</xdr:row>
      <xdr:rowOff>19706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19</xdr:row>
      <xdr:rowOff>0</xdr:rowOff>
    </xdr:from>
    <xdr:to>
      <xdr:col>11</xdr:col>
      <xdr:colOff>474794</xdr:colOff>
      <xdr:row>23</xdr:row>
      <xdr:rowOff>15227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20</xdr:row>
      <xdr:rowOff>4479</xdr:rowOff>
    </xdr:from>
    <xdr:to>
      <xdr:col>10</xdr:col>
      <xdr:colOff>483454</xdr:colOff>
      <xdr:row>24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20</xdr:row>
      <xdr:rowOff>0</xdr:rowOff>
    </xdr:from>
    <xdr:to>
      <xdr:col>11</xdr:col>
      <xdr:colOff>474794</xdr:colOff>
      <xdr:row>24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19</xdr:row>
      <xdr:rowOff>4479</xdr:rowOff>
    </xdr:from>
    <xdr:to>
      <xdr:col>11</xdr:col>
      <xdr:colOff>483454</xdr:colOff>
      <xdr:row>23</xdr:row>
      <xdr:rowOff>19706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20</xdr:row>
      <xdr:rowOff>0</xdr:rowOff>
    </xdr:from>
    <xdr:to>
      <xdr:col>11</xdr:col>
      <xdr:colOff>474794</xdr:colOff>
      <xdr:row>24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21</xdr:row>
      <xdr:rowOff>0</xdr:rowOff>
    </xdr:from>
    <xdr:to>
      <xdr:col>11</xdr:col>
      <xdr:colOff>474794</xdr:colOff>
      <xdr:row>25</xdr:row>
      <xdr:rowOff>15227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24185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24185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24185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24185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24185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20</xdr:row>
      <xdr:rowOff>4479</xdr:rowOff>
    </xdr:from>
    <xdr:to>
      <xdr:col>11</xdr:col>
      <xdr:colOff>483454</xdr:colOff>
      <xdr:row>24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24185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243052</xdr:colOff>
      <xdr:row>21</xdr:row>
      <xdr:rowOff>0</xdr:rowOff>
    </xdr:from>
    <xdr:to>
      <xdr:col>11</xdr:col>
      <xdr:colOff>474794</xdr:colOff>
      <xdr:row>25</xdr:row>
      <xdr:rowOff>15227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19706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19706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19706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19706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11</xdr:col>
      <xdr:colOff>251712</xdr:colOff>
      <xdr:row>21</xdr:row>
      <xdr:rowOff>4479</xdr:rowOff>
    </xdr:from>
    <xdr:to>
      <xdr:col>11</xdr:col>
      <xdr:colOff>483454</xdr:colOff>
      <xdr:row>25</xdr:row>
      <xdr:rowOff>19706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638175</xdr:colOff>
      <xdr:row>6</xdr:row>
      <xdr:rowOff>38100</xdr:rowOff>
    </xdr:from>
    <xdr:to>
      <xdr:col>0</xdr:col>
      <xdr:colOff>1313327</xdr:colOff>
      <xdr:row>8</xdr:row>
      <xdr:rowOff>87406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779648" y="92532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0</xdr:rowOff>
    </xdr:from>
    <xdr:to>
      <xdr:col>7</xdr:col>
      <xdr:colOff>675152</xdr:colOff>
      <xdr:row>2</xdr:row>
      <xdr:rowOff>49306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49420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171450</xdr:rowOff>
    </xdr:from>
    <xdr:to>
      <xdr:col>0</xdr:col>
      <xdr:colOff>675152</xdr:colOff>
      <xdr:row>0</xdr:row>
      <xdr:rowOff>563656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2</xdr:col>
      <xdr:colOff>179852</xdr:colOff>
      <xdr:row>2</xdr:row>
      <xdr:rowOff>68356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16200000">
          <a:off x="255773" y="-843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47625</xdr:rowOff>
    </xdr:from>
    <xdr:to>
      <xdr:col>2</xdr:col>
      <xdr:colOff>198902</xdr:colOff>
      <xdr:row>2</xdr:row>
      <xdr:rowOff>96931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16200000">
          <a:off x="274823" y="-938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oneCell">
    <xdr:from>
      <xdr:col>1</xdr:col>
      <xdr:colOff>356152</xdr:colOff>
      <xdr:row>2</xdr:row>
      <xdr:rowOff>126574</xdr:rowOff>
    </xdr:from>
    <xdr:to>
      <xdr:col>4</xdr:col>
      <xdr:colOff>248800</xdr:colOff>
      <xdr:row>6</xdr:row>
      <xdr:rowOff>155570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7152" y="47444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15</xdr:row>
      <xdr:rowOff>33130</xdr:rowOff>
    </xdr:from>
    <xdr:to>
      <xdr:col>2</xdr:col>
      <xdr:colOff>198782</xdr:colOff>
      <xdr:row>16</xdr:row>
      <xdr:rowOff>149087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264215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91109</xdr:colOff>
      <xdr:row>17</xdr:row>
      <xdr:rowOff>33131</xdr:rowOff>
    </xdr:from>
    <xdr:to>
      <xdr:col>2</xdr:col>
      <xdr:colOff>207065</xdr:colOff>
      <xdr:row>18</xdr:row>
      <xdr:rowOff>149088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72109" y="299002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82827</xdr:colOff>
      <xdr:row>19</xdr:row>
      <xdr:rowOff>57978</xdr:rowOff>
    </xdr:from>
    <xdr:to>
      <xdr:col>2</xdr:col>
      <xdr:colOff>198783</xdr:colOff>
      <xdr:row>21</xdr:row>
      <xdr:rowOff>1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63827" y="3362739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2</xdr:col>
      <xdr:colOff>662608</xdr:colOff>
      <xdr:row>15</xdr:row>
      <xdr:rowOff>24848</xdr:rowOff>
    </xdr:from>
    <xdr:to>
      <xdr:col>4</xdr:col>
      <xdr:colOff>397565</xdr:colOff>
      <xdr:row>16</xdr:row>
      <xdr:rowOff>140805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731065" y="2633870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2</xdr:col>
      <xdr:colOff>629478</xdr:colOff>
      <xdr:row>17</xdr:row>
      <xdr:rowOff>8284</xdr:rowOff>
    </xdr:from>
    <xdr:to>
      <xdr:col>4</xdr:col>
      <xdr:colOff>364435</xdr:colOff>
      <xdr:row>18</xdr:row>
      <xdr:rowOff>124241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697935" y="2965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4</xdr:col>
      <xdr:colOff>679174</xdr:colOff>
      <xdr:row>8</xdr:row>
      <xdr:rowOff>99391</xdr:rowOff>
    </xdr:from>
    <xdr:to>
      <xdr:col>6</xdr:col>
      <xdr:colOff>414131</xdr:colOff>
      <xdr:row>10</xdr:row>
      <xdr:rowOff>41413</xdr:rowOff>
    </xdr:to>
    <xdr:sp macro="[0]!'a_ShowPage &quot;if_findpic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122544" y="149086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5">
                <a:lumMod val="75000"/>
              </a:schemeClr>
            </a:gs>
            <a:gs pos="77000">
              <a:schemeClr val="accent5">
                <a:lumMod val="5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findpic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1704975</xdr:colOff>
      <xdr:row>0</xdr:row>
      <xdr:rowOff>66675</xdr:rowOff>
    </xdr:from>
    <xdr:to>
      <xdr:col>3</xdr:col>
      <xdr:colOff>665627</xdr:colOff>
      <xdr:row>0</xdr:row>
      <xdr:rowOff>458881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521829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7</xdr:row>
      <xdr:rowOff>123825</xdr:rowOff>
    </xdr:from>
    <xdr:to>
      <xdr:col>5</xdr:col>
      <xdr:colOff>27452</xdr:colOff>
      <xdr:row>9</xdr:row>
      <xdr:rowOff>135031</xdr:rowOff>
    </xdr:to>
    <xdr:sp macro="[0]!'a_ShowPage &quot;core_homepage&quot;'" textlink="">
      <xdr:nvSpPr>
        <xdr:cNvPr id="3" name="右箭头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179573" y="-176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294152</xdr:colOff>
      <xdr:row>2</xdr:row>
      <xdr:rowOff>106456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6200000">
          <a:off x="198623" y="-843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0</xdr:col>
      <xdr:colOff>675152</xdr:colOff>
      <xdr:row>3</xdr:row>
      <xdr:rowOff>49306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0</xdr:col>
      <xdr:colOff>675152</xdr:colOff>
      <xdr:row>3</xdr:row>
      <xdr:rowOff>39781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>
    <xdr:from>
      <xdr:col>2</xdr:col>
      <xdr:colOff>485775</xdr:colOff>
      <xdr:row>7</xdr:row>
      <xdr:rowOff>66675</xdr:rowOff>
    </xdr:from>
    <xdr:to>
      <xdr:col>3</xdr:col>
      <xdr:colOff>647700</xdr:colOff>
      <xdr:row>19</xdr:row>
      <xdr:rowOff>142875</xdr:rowOff>
    </xdr:to>
    <xdr:sp macro="[0]!nc_SamplePicToDic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857375" y="1314450"/>
          <a:ext cx="847725" cy="247650"/>
        </a:xfrm>
        <a:prstGeom prst="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050"/>
            <a:t>图到内存</a:t>
          </a:r>
        </a:p>
      </xdr:txBody>
    </xdr:sp>
    <xdr:clientData/>
  </xdr:twoCellAnchor>
  <xdr:twoCellAnchor>
    <xdr:from>
      <xdr:col>1</xdr:col>
      <xdr:colOff>276225</xdr:colOff>
      <xdr:row>7</xdr:row>
      <xdr:rowOff>47626</xdr:rowOff>
    </xdr:from>
    <xdr:to>
      <xdr:col>2</xdr:col>
      <xdr:colOff>438150</xdr:colOff>
      <xdr:row>19</xdr:row>
      <xdr:rowOff>142876</xdr:rowOff>
    </xdr:to>
    <xdr:sp macro="[0]!'nc_ShowALLPICLocationInSheet &quot;E&quot;'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62025" y="1295401"/>
          <a:ext cx="847725" cy="266700"/>
        </a:xfrm>
        <a:prstGeom prst="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050"/>
            <a:t>J01</a:t>
          </a:r>
          <a:endParaRPr lang="zh-CN" altLang="en-US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9"/>
  <sheetViews>
    <sheetView tabSelected="1" topLeftCell="E4" zoomScale="85" zoomScaleNormal="85" workbookViewId="0">
      <selection activeCell="S13" sqref="S13"/>
    </sheetView>
  </sheetViews>
  <sheetFormatPr defaultColWidth="9" defaultRowHeight="16.5"/>
  <cols>
    <col min="1" max="4" width="0" style="12" hidden="1" customWidth="1"/>
    <col min="5" max="5" width="2.26953125" style="12" customWidth="1"/>
    <col min="6" max="6" width="11" style="12" customWidth="1"/>
    <col min="7" max="7" width="3.90625" style="12" customWidth="1"/>
    <col min="8" max="8" width="4.36328125" style="12" customWidth="1"/>
    <col min="9" max="12" width="11.6328125" style="12" customWidth="1"/>
    <col min="13" max="16384" width="9" style="12"/>
  </cols>
  <sheetData>
    <row r="1" spans="1:12" hidden="1"/>
    <row r="2" spans="1:12" hidden="1"/>
    <row r="3" spans="1:12" hidden="1"/>
    <row r="4" spans="1:12" s="16" customFormat="1" ht="35.25" customHeight="1"/>
    <row r="5" spans="1:12" ht="10.5" customHeight="1"/>
    <row r="6" spans="1:12" ht="21.75" customHeight="1">
      <c r="I6" s="30" t="s">
        <v>205</v>
      </c>
      <c r="J6" s="30"/>
      <c r="K6" s="30"/>
      <c r="L6" s="30"/>
    </row>
    <row r="7" spans="1:12" ht="21.75" customHeight="1">
      <c r="A7" s="12" t="s">
        <v>67</v>
      </c>
      <c r="I7" s="24" t="s">
        <v>67</v>
      </c>
      <c r="J7" s="24"/>
      <c r="K7" s="24"/>
      <c r="L7" s="24"/>
    </row>
    <row r="8" spans="1:12" ht="21.75" hidden="1" customHeight="1" thickBot="1">
      <c r="F8" s="13"/>
    </row>
    <row r="9" spans="1:12" ht="21.75" customHeight="1">
      <c r="F9" s="13">
        <f>VLOOKUP("Engine Loop",core_setup!F:G,2,0)</f>
        <v>300</v>
      </c>
      <c r="I9" s="13">
        <v>500</v>
      </c>
      <c r="J9" s="13">
        <v>1000</v>
      </c>
      <c r="K9" s="13">
        <v>500</v>
      </c>
      <c r="L9" s="13">
        <v>500</v>
      </c>
    </row>
    <row r="10" spans="1:12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2">
      <c r="I11" s="13">
        <v>1000</v>
      </c>
      <c r="J11" s="13">
        <v>1000</v>
      </c>
      <c r="K11" s="13">
        <v>1000</v>
      </c>
      <c r="L11" s="13">
        <v>1000</v>
      </c>
    </row>
    <row r="12" spans="1:12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2" hidden="1"/>
    <row r="15" spans="1:12">
      <c r="F15" s="12" t="s">
        <v>120</v>
      </c>
      <c r="G15" s="14">
        <v>1</v>
      </c>
      <c r="I15" s="13">
        <v>8</v>
      </c>
      <c r="J15" s="13">
        <v>1</v>
      </c>
      <c r="K15" s="13">
        <v>8</v>
      </c>
      <c r="L15" s="13">
        <v>8</v>
      </c>
    </row>
    <row r="16" spans="1:12">
      <c r="F16" s="12" t="s">
        <v>178</v>
      </c>
      <c r="G16" s="27">
        <v>0</v>
      </c>
      <c r="I16" s="13">
        <v>8</v>
      </c>
      <c r="J16" s="13">
        <v>0</v>
      </c>
      <c r="K16" s="13">
        <v>1</v>
      </c>
      <c r="L16" s="13">
        <v>8</v>
      </c>
    </row>
    <row r="17" spans="6:12">
      <c r="F17" s="12" t="s">
        <v>183</v>
      </c>
      <c r="G17" s="29">
        <v>0</v>
      </c>
      <c r="I17" s="13">
        <v>8</v>
      </c>
      <c r="J17" s="13">
        <v>0</v>
      </c>
      <c r="K17" s="13">
        <v>8</v>
      </c>
      <c r="L17" s="13">
        <v>8</v>
      </c>
    </row>
    <row r="18" spans="6:12">
      <c r="F18" s="12" t="s">
        <v>197</v>
      </c>
      <c r="G18" s="14">
        <v>1</v>
      </c>
      <c r="I18" s="13">
        <v>1</v>
      </c>
      <c r="J18" s="13">
        <v>0</v>
      </c>
      <c r="K18" s="13">
        <v>8</v>
      </c>
      <c r="L18" s="13">
        <v>8</v>
      </c>
    </row>
    <row r="20" spans="6:12">
      <c r="I20" s="28" t="s">
        <v>214</v>
      </c>
      <c r="J20" s="28" t="s">
        <v>52</v>
      </c>
      <c r="K20" s="28" t="s">
        <v>209</v>
      </c>
      <c r="L20" s="28" t="s">
        <v>52</v>
      </c>
    </row>
    <row r="21" spans="6:12">
      <c r="I21" s="28" t="s">
        <v>210</v>
      </c>
      <c r="J21" s="28" t="s">
        <v>52</v>
      </c>
      <c r="K21" s="28" t="s">
        <v>206</v>
      </c>
      <c r="L21" s="28" t="s">
        <v>52</v>
      </c>
    </row>
    <row r="22" spans="6:12">
      <c r="I22" s="28" t="s">
        <v>207</v>
      </c>
      <c r="J22" s="28" t="s">
        <v>52</v>
      </c>
      <c r="K22" s="28" t="s">
        <v>208</v>
      </c>
      <c r="L22" s="28" t="s">
        <v>52</v>
      </c>
    </row>
    <row r="23" spans="6:12">
      <c r="I23" s="28" t="s">
        <v>52</v>
      </c>
      <c r="J23" s="28" t="s">
        <v>52</v>
      </c>
      <c r="K23" s="28" t="s">
        <v>204</v>
      </c>
      <c r="L23" s="28" t="s">
        <v>52</v>
      </c>
    </row>
    <row r="24" spans="6:12">
      <c r="I24" s="28" t="s">
        <v>52</v>
      </c>
      <c r="J24" s="28" t="s">
        <v>52</v>
      </c>
      <c r="K24" s="28" t="s">
        <v>52</v>
      </c>
      <c r="L24" s="28" t="s">
        <v>52</v>
      </c>
    </row>
    <row r="25" spans="6:12">
      <c r="I25" s="28" t="s">
        <v>52</v>
      </c>
      <c r="J25" s="28" t="s">
        <v>52</v>
      </c>
      <c r="K25" s="28" t="s">
        <v>52</v>
      </c>
      <c r="L25" s="28" t="s">
        <v>52</v>
      </c>
    </row>
    <row r="26" spans="6:12">
      <c r="I26" s="28" t="s">
        <v>52</v>
      </c>
      <c r="J26" s="28" t="s">
        <v>52</v>
      </c>
      <c r="K26" s="28" t="s">
        <v>52</v>
      </c>
      <c r="L26" s="28" t="s">
        <v>52</v>
      </c>
    </row>
    <row r="27" spans="6:12">
      <c r="I27" s="28" t="s">
        <v>64</v>
      </c>
      <c r="J27" s="28" t="s">
        <v>52</v>
      </c>
      <c r="K27" s="28" t="s">
        <v>52</v>
      </c>
      <c r="L27" s="28" t="s">
        <v>52</v>
      </c>
    </row>
    <row r="29" spans="6:12">
      <c r="J29" s="12" t="s">
        <v>186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5"/>
  <sheetViews>
    <sheetView zoomScale="145" zoomScaleNormal="145" workbookViewId="0">
      <selection activeCell="B15" sqref="B15"/>
    </sheetView>
  </sheetViews>
  <sheetFormatPr defaultRowHeight="14.5"/>
  <cols>
    <col min="1" max="1" width="22.90625" customWidth="1"/>
    <col min="2" max="2" width="50.7265625" customWidth="1"/>
  </cols>
  <sheetData>
    <row r="1" spans="1:4">
      <c r="A1" s="15" t="s">
        <v>49</v>
      </c>
      <c r="B1" s="15" t="s">
        <v>32</v>
      </c>
      <c r="C1" s="15" t="s">
        <v>33</v>
      </c>
      <c r="D1" s="15" t="s">
        <v>38</v>
      </c>
    </row>
    <row r="2" spans="1:4">
      <c r="A2" s="15" t="s">
        <v>45</v>
      </c>
      <c r="B2" s="15" t="s">
        <v>171</v>
      </c>
      <c r="C2" s="11" t="s">
        <v>165</v>
      </c>
      <c r="D2" s="11">
        <v>1</v>
      </c>
    </row>
    <row r="3" spans="1:4">
      <c r="A3" s="15" t="s">
        <v>46</v>
      </c>
      <c r="B3" s="15" t="s">
        <v>176</v>
      </c>
      <c r="C3" s="11" t="s">
        <v>177</v>
      </c>
      <c r="D3" s="11">
        <v>1</v>
      </c>
    </row>
    <row r="4" spans="1:4">
      <c r="A4" s="15" t="s">
        <v>47</v>
      </c>
      <c r="B4" s="15" t="s">
        <v>184</v>
      </c>
      <c r="C4" s="11" t="s">
        <v>185</v>
      </c>
      <c r="D4" s="11">
        <v>0</v>
      </c>
    </row>
    <row r="5" spans="1:4">
      <c r="A5" s="15" t="s">
        <v>194</v>
      </c>
      <c r="B5" s="15" t="s">
        <v>195</v>
      </c>
      <c r="C5" s="11" t="s">
        <v>196</v>
      </c>
      <c r="D5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2" sqref="B2"/>
    </sheetView>
  </sheetViews>
  <sheetFormatPr defaultRowHeight="14.5"/>
  <sheetData>
    <row r="1" spans="1:3">
      <c r="A1" t="s">
        <v>14</v>
      </c>
      <c r="B1">
        <v>0</v>
      </c>
      <c r="C1" t="s">
        <v>23</v>
      </c>
    </row>
    <row r="2" spans="1:3">
      <c r="A2" t="s">
        <v>15</v>
      </c>
      <c r="B2">
        <v>0</v>
      </c>
      <c r="C2" t="s">
        <v>24</v>
      </c>
    </row>
    <row r="3" spans="1:3">
      <c r="A3" t="s">
        <v>16</v>
      </c>
      <c r="B3">
        <v>1</v>
      </c>
      <c r="C3" t="s">
        <v>29</v>
      </c>
    </row>
    <row r="4" spans="1:3">
      <c r="A4" t="s">
        <v>17</v>
      </c>
    </row>
    <row r="5" spans="1:3">
      <c r="A5" t="s">
        <v>18</v>
      </c>
    </row>
    <row r="6" spans="1:3">
      <c r="A6" t="s">
        <v>19</v>
      </c>
      <c r="B6">
        <v>1</v>
      </c>
      <c r="C6" t="s">
        <v>34</v>
      </c>
    </row>
    <row r="7" spans="1:3">
      <c r="A7" t="s">
        <v>48</v>
      </c>
      <c r="B7">
        <v>1</v>
      </c>
      <c r="C7" t="s">
        <v>35</v>
      </c>
    </row>
    <row r="8" spans="1:3">
      <c r="A8" t="s">
        <v>20</v>
      </c>
      <c r="B8">
        <v>1</v>
      </c>
      <c r="C8" t="s">
        <v>36</v>
      </c>
    </row>
    <row r="9" spans="1:3">
      <c r="A9" t="s">
        <v>21</v>
      </c>
      <c r="B9">
        <v>1</v>
      </c>
      <c r="C9" t="s">
        <v>37</v>
      </c>
    </row>
    <row r="10" spans="1:3">
      <c r="A10" t="s">
        <v>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I19" sqref="I19"/>
    </sheetView>
  </sheetViews>
  <sheetFormatPr defaultRowHeight="14.5"/>
  <sheetData>
    <row r="1" s="1" customFormat="1" ht="52.5" customHeight="1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D4" sqref="D4"/>
    </sheetView>
  </sheetViews>
  <sheetFormatPr defaultColWidth="9" defaultRowHeight="14.5"/>
  <cols>
    <col min="1" max="3" width="4" style="7" customWidth="1"/>
    <col min="4" max="4" width="21.453125" style="7" customWidth="1"/>
    <col min="5" max="7" width="4" style="7" customWidth="1"/>
    <col min="8" max="8" width="16.36328125" style="7" customWidth="1"/>
    <col min="9" max="13" width="4" style="7" customWidth="1"/>
    <col min="14" max="16384" width="9" style="7"/>
  </cols>
  <sheetData>
    <row r="1" spans="4:8">
      <c r="D1" s="17" t="s">
        <v>101</v>
      </c>
      <c r="H1" s="17" t="s">
        <v>104</v>
      </c>
    </row>
    <row r="2" spans="4:8">
      <c r="D2" s="18" t="s">
        <v>102</v>
      </c>
      <c r="H2" s="18" t="s">
        <v>105</v>
      </c>
    </row>
    <row r="3" spans="4:8">
      <c r="D3" s="18" t="s">
        <v>103</v>
      </c>
      <c r="H3" s="18"/>
    </row>
    <row r="4" spans="4:8">
      <c r="D4" s="18" t="s">
        <v>170</v>
      </c>
      <c r="H4" s="18"/>
    </row>
    <row r="5" spans="4:8">
      <c r="D5" s="18"/>
      <c r="H5" s="18"/>
    </row>
    <row r="6" spans="4:8">
      <c r="D6" s="18"/>
      <c r="H6" s="18"/>
    </row>
    <row r="7" spans="4:8">
      <c r="D7" s="18"/>
      <c r="H7" s="18"/>
    </row>
    <row r="8" spans="4:8">
      <c r="D8" s="18"/>
      <c r="H8" s="18"/>
    </row>
    <row r="9" spans="4:8">
      <c r="D9" s="18"/>
      <c r="H9" s="18"/>
    </row>
    <row r="10" spans="4:8">
      <c r="D10" s="18"/>
      <c r="H10" s="18"/>
    </row>
    <row r="11" spans="4:8">
      <c r="D11" s="18"/>
      <c r="H11" s="18"/>
    </row>
    <row r="12" spans="4:8">
      <c r="D12" s="18"/>
      <c r="H12" s="18"/>
    </row>
    <row r="13" spans="4:8">
      <c r="D13" s="18"/>
      <c r="H13" s="18"/>
    </row>
    <row r="14" spans="4:8">
      <c r="D14" s="18"/>
      <c r="H14" s="18"/>
    </row>
    <row r="15" spans="4:8">
      <c r="D15" s="18"/>
      <c r="H15" s="18"/>
    </row>
    <row r="16" spans="4:8">
      <c r="D16" s="18"/>
      <c r="H16" s="18"/>
    </row>
    <row r="17" spans="4:8">
      <c r="D17" s="18"/>
      <c r="H17" s="18"/>
    </row>
  </sheetData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Q3" sqref="Q3"/>
    </sheetView>
  </sheetViews>
  <sheetFormatPr defaultColWidth="9" defaultRowHeight="14.5"/>
  <cols>
    <col min="1" max="3" width="4" style="7" customWidth="1"/>
    <col min="4" max="4" width="27.08984375" style="7" customWidth="1"/>
    <col min="5" max="7" width="4" style="7" customWidth="1"/>
    <col min="8" max="8" width="24.7265625" style="7" customWidth="1"/>
    <col min="9" max="13" width="4" style="7" customWidth="1"/>
    <col min="14" max="16384" width="9" style="7"/>
  </cols>
  <sheetData>
    <row r="1" spans="4:8">
      <c r="D1" s="8" t="s">
        <v>30</v>
      </c>
      <c r="H1" s="8" t="s">
        <v>31</v>
      </c>
    </row>
    <row r="2" spans="4:8">
      <c r="D2" s="9" t="s">
        <v>100</v>
      </c>
      <c r="H2" s="9" t="s">
        <v>68</v>
      </c>
    </row>
    <row r="3" spans="4:8">
      <c r="D3" s="9" t="s">
        <v>95</v>
      </c>
      <c r="H3" s="9" t="s">
        <v>109</v>
      </c>
    </row>
    <row r="4" spans="4:8">
      <c r="D4" s="9" t="s">
        <v>96</v>
      </c>
      <c r="H4" s="9" t="s">
        <v>118</v>
      </c>
    </row>
    <row r="5" spans="4:8">
      <c r="D5" s="9" t="s">
        <v>97</v>
      </c>
      <c r="H5" s="9"/>
    </row>
    <row r="6" spans="4:8">
      <c r="D6" s="9" t="s">
        <v>215</v>
      </c>
      <c r="H6" s="9"/>
    </row>
    <row r="7" spans="4:8">
      <c r="D7" s="9" t="s">
        <v>108</v>
      </c>
      <c r="H7" s="9"/>
    </row>
    <row r="8" spans="4:8">
      <c r="D8" s="9" t="s">
        <v>114</v>
      </c>
      <c r="H8" s="9"/>
    </row>
    <row r="9" spans="4:8">
      <c r="D9" s="9" t="s">
        <v>131</v>
      </c>
      <c r="H9" s="9"/>
    </row>
    <row r="10" spans="4:8">
      <c r="D10" s="9"/>
      <c r="H10" s="9"/>
    </row>
    <row r="11" spans="4:8">
      <c r="D11" s="9"/>
      <c r="H11" s="9"/>
    </row>
    <row r="12" spans="4:8">
      <c r="D12" s="9"/>
      <c r="H12" s="9"/>
    </row>
    <row r="13" spans="4:8">
      <c r="D13" s="9"/>
      <c r="H13" s="9"/>
    </row>
    <row r="14" spans="4:8">
      <c r="D14" s="9"/>
      <c r="H14" s="9"/>
    </row>
    <row r="15" spans="4:8">
      <c r="D15" s="9"/>
      <c r="H15" s="9"/>
    </row>
    <row r="16" spans="4:8">
      <c r="D16" s="9"/>
      <c r="H16" s="9"/>
    </row>
    <row r="17" spans="4:8">
      <c r="D17" s="9"/>
      <c r="H17" s="9"/>
    </row>
    <row r="18" spans="4:8">
      <c r="D18" s="9"/>
      <c r="H18" s="9"/>
    </row>
    <row r="19" spans="4:8">
      <c r="D19" s="9"/>
      <c r="H19" s="9"/>
    </row>
    <row r="20" spans="4:8">
      <c r="D20" s="9"/>
      <c r="H20" s="9"/>
    </row>
    <row r="21" spans="4:8">
      <c r="D21" s="9"/>
      <c r="H21" s="9"/>
    </row>
    <row r="22" spans="4:8">
      <c r="D22" s="9"/>
      <c r="H22" s="9"/>
    </row>
    <row r="23" spans="4:8">
      <c r="D23" s="9"/>
      <c r="H23" s="9"/>
    </row>
    <row r="24" spans="4:8">
      <c r="D24" s="9"/>
      <c r="H24" s="9"/>
    </row>
    <row r="25" spans="4:8">
      <c r="D25" s="9"/>
      <c r="H25" s="9"/>
    </row>
    <row r="26" spans="4:8">
      <c r="D26" s="9"/>
      <c r="H26" s="9"/>
    </row>
    <row r="27" spans="4:8">
      <c r="D27" s="9"/>
      <c r="H27" s="9"/>
    </row>
    <row r="28" spans="4:8">
      <c r="D28" s="9"/>
      <c r="H28" s="9"/>
    </row>
    <row r="29" spans="4:8">
      <c r="D29" s="9"/>
      <c r="H29" s="9"/>
    </row>
    <row r="30" spans="4:8">
      <c r="D30" s="9"/>
      <c r="H30" s="9"/>
    </row>
    <row r="31" spans="4:8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G18" sqref="G18"/>
    </sheetView>
  </sheetViews>
  <sheetFormatPr defaultColWidth="9" defaultRowHeight="14.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4"/>
  <sheetViews>
    <sheetView workbookViewId="0">
      <selection activeCell="B24" sqref="B24"/>
    </sheetView>
  </sheetViews>
  <sheetFormatPr defaultRowHeight="14.5"/>
  <cols>
    <col min="2" max="2" width="35.26953125" customWidth="1"/>
    <col min="3" max="3" width="22.453125" customWidth="1"/>
  </cols>
  <sheetData>
    <row r="1" spans="1:3" ht="40.5" customHeight="1">
      <c r="A1" t="s">
        <v>61</v>
      </c>
      <c r="B1" t="s">
        <v>51</v>
      </c>
      <c r="C1" t="s">
        <v>58</v>
      </c>
    </row>
    <row r="2" spans="1:3">
      <c r="A2">
        <v>1</v>
      </c>
      <c r="B2" t="s">
        <v>52</v>
      </c>
      <c r="C2" t="s">
        <v>65</v>
      </c>
    </row>
    <row r="3" spans="1:3">
      <c r="A3">
        <v>2</v>
      </c>
      <c r="B3" t="s">
        <v>59</v>
      </c>
      <c r="C3" t="s">
        <v>60</v>
      </c>
    </row>
    <row r="4" spans="1:3">
      <c r="A4">
        <v>3</v>
      </c>
      <c r="B4" t="s">
        <v>71</v>
      </c>
      <c r="C4" t="s">
        <v>72</v>
      </c>
    </row>
    <row r="5" spans="1:3">
      <c r="A5">
        <v>4</v>
      </c>
      <c r="B5" t="s">
        <v>73</v>
      </c>
      <c r="C5" t="s">
        <v>74</v>
      </c>
    </row>
    <row r="6" spans="1:3">
      <c r="A6">
        <v>5</v>
      </c>
      <c r="B6" t="s">
        <v>75</v>
      </c>
      <c r="C6" t="s">
        <v>76</v>
      </c>
    </row>
    <row r="7" spans="1:3">
      <c r="A7">
        <v>6</v>
      </c>
      <c r="B7" t="s">
        <v>77</v>
      </c>
      <c r="C7" t="s">
        <v>78</v>
      </c>
    </row>
    <row r="8" spans="1:3">
      <c r="A8">
        <v>7</v>
      </c>
      <c r="B8" t="s">
        <v>79</v>
      </c>
      <c r="C8" t="s">
        <v>80</v>
      </c>
    </row>
    <row r="9" spans="1:3">
      <c r="A9">
        <v>8</v>
      </c>
      <c r="B9" t="s">
        <v>81</v>
      </c>
      <c r="C9" t="s">
        <v>82</v>
      </c>
    </row>
    <row r="10" spans="1:3">
      <c r="A10">
        <v>9</v>
      </c>
      <c r="B10" t="s">
        <v>83</v>
      </c>
      <c r="C10" t="s">
        <v>84</v>
      </c>
    </row>
    <row r="11" spans="1:3">
      <c r="A11">
        <v>10</v>
      </c>
      <c r="B11" t="s">
        <v>85</v>
      </c>
      <c r="C11" t="s">
        <v>86</v>
      </c>
    </row>
    <row r="12" spans="1:3">
      <c r="A12">
        <v>11</v>
      </c>
      <c r="B12" t="s">
        <v>87</v>
      </c>
      <c r="C12" t="s">
        <v>88</v>
      </c>
    </row>
    <row r="13" spans="1:3">
      <c r="A13">
        <v>12</v>
      </c>
      <c r="B13" t="s">
        <v>89</v>
      </c>
      <c r="C13" t="s">
        <v>90</v>
      </c>
    </row>
    <row r="14" spans="1:3">
      <c r="A14">
        <v>13</v>
      </c>
      <c r="B14" t="s">
        <v>91</v>
      </c>
      <c r="C14" t="s">
        <v>92</v>
      </c>
    </row>
    <row r="15" spans="1:3">
      <c r="A15">
        <v>14</v>
      </c>
      <c r="B15" t="s">
        <v>93</v>
      </c>
      <c r="C15" t="s">
        <v>94</v>
      </c>
    </row>
    <row r="16" spans="1:3">
      <c r="A16">
        <v>15</v>
      </c>
      <c r="B16" t="s">
        <v>98</v>
      </c>
      <c r="C16" t="s">
        <v>99</v>
      </c>
    </row>
    <row r="17" spans="1:3">
      <c r="A17">
        <v>16</v>
      </c>
      <c r="B17" t="s">
        <v>112</v>
      </c>
      <c r="C17" t="s">
        <v>113</v>
      </c>
    </row>
    <row r="18" spans="1:3">
      <c r="A18">
        <v>17</v>
      </c>
      <c r="B18" t="s">
        <v>116</v>
      </c>
      <c r="C18" t="s">
        <v>117</v>
      </c>
    </row>
    <row r="19" spans="1:3">
      <c r="A19">
        <v>18</v>
      </c>
      <c r="B19" t="s">
        <v>129</v>
      </c>
      <c r="C19" t="s">
        <v>130</v>
      </c>
    </row>
    <row r="20" spans="1:3">
      <c r="A20">
        <v>19</v>
      </c>
      <c r="B20" t="s">
        <v>166</v>
      </c>
      <c r="C20" t="s">
        <v>167</v>
      </c>
    </row>
    <row r="21" spans="1:3">
      <c r="A21">
        <v>20</v>
      </c>
      <c r="B21" t="s">
        <v>168</v>
      </c>
      <c r="C21" t="s">
        <v>169</v>
      </c>
    </row>
    <row r="22" spans="1:3">
      <c r="A22">
        <v>21</v>
      </c>
      <c r="B22" t="s">
        <v>198</v>
      </c>
      <c r="C22" t="s">
        <v>199</v>
      </c>
    </row>
    <row r="23" spans="1:3">
      <c r="A23">
        <v>22</v>
      </c>
      <c r="B23" t="s">
        <v>200</v>
      </c>
      <c r="C23" t="s">
        <v>201</v>
      </c>
    </row>
    <row r="24" spans="1:3">
      <c r="A24">
        <v>23</v>
      </c>
      <c r="B24" t="s">
        <v>202</v>
      </c>
      <c r="C24" t="s">
        <v>203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3"/>
  <sheetViews>
    <sheetView topLeftCell="E8" workbookViewId="0">
      <selection activeCell="K13" sqref="K13"/>
    </sheetView>
  </sheetViews>
  <sheetFormatPr defaultColWidth="9" defaultRowHeight="14.5"/>
  <cols>
    <col min="1" max="4" width="0" style="1" hidden="1" customWidth="1"/>
    <col min="5" max="5" width="9" style="1"/>
    <col min="6" max="7" width="25.08984375" style="1" customWidth="1"/>
    <col min="8" max="16384" width="9" style="1"/>
  </cols>
  <sheetData>
    <row r="1" spans="6:8" hidden="1"/>
    <row r="2" spans="6:8" hidden="1"/>
    <row r="3" spans="6:8" hidden="1"/>
    <row r="4" spans="6:8" hidden="1"/>
    <row r="5" spans="6:8" hidden="1"/>
    <row r="6" spans="6:8" hidden="1"/>
    <row r="7" spans="6:8" hidden="1"/>
    <row r="9" spans="6:8">
      <c r="F9" s="5" t="s">
        <v>57</v>
      </c>
      <c r="G9" s="4" t="s">
        <v>216</v>
      </c>
    </row>
    <row r="11" spans="6:8">
      <c r="F11" s="5" t="s">
        <v>2</v>
      </c>
      <c r="G11" s="4" t="s">
        <v>1</v>
      </c>
    </row>
    <row r="12" spans="6:8">
      <c r="F12" s="6"/>
      <c r="G12" s="2"/>
    </row>
    <row r="13" spans="6:8">
      <c r="F13" s="5" t="s">
        <v>50</v>
      </c>
      <c r="G13" s="4" t="s">
        <v>66</v>
      </c>
      <c r="H13" s="3" t="s">
        <v>0</v>
      </c>
    </row>
    <row r="14" spans="6:8">
      <c r="F14" s="6"/>
      <c r="G14" s="2"/>
    </row>
    <row r="15" spans="6:8">
      <c r="F15" s="5" t="s">
        <v>51</v>
      </c>
      <c r="G15" s="4" t="s">
        <v>211</v>
      </c>
      <c r="H15" s="3" t="s">
        <v>0</v>
      </c>
    </row>
    <row r="16" spans="6:8">
      <c r="F16" s="6"/>
      <c r="G16" s="2"/>
    </row>
    <row r="17" spans="6:8">
      <c r="F17" s="5" t="s">
        <v>8</v>
      </c>
      <c r="G17" s="4" t="s">
        <v>41</v>
      </c>
    </row>
    <row r="18" spans="6:8">
      <c r="F18" s="6"/>
      <c r="G18" s="2"/>
    </row>
    <row r="19" spans="6:8">
      <c r="F19" s="5" t="s">
        <v>42</v>
      </c>
      <c r="G19" s="4" t="s">
        <v>40</v>
      </c>
    </row>
    <row r="20" spans="6:8">
      <c r="F20" s="6"/>
      <c r="G20" s="2"/>
    </row>
    <row r="21" spans="6:8">
      <c r="F21" s="5" t="s">
        <v>70</v>
      </c>
      <c r="G21" s="4">
        <v>300</v>
      </c>
    </row>
    <row r="22" spans="6:8">
      <c r="F22" s="6"/>
    </row>
    <row r="23" spans="6:8">
      <c r="F23" s="5" t="s">
        <v>25</v>
      </c>
      <c r="G23" s="4">
        <v>1</v>
      </c>
      <c r="H23" s="10" t="s">
        <v>27</v>
      </c>
    </row>
    <row r="24" spans="6:8">
      <c r="F24" s="6"/>
    </row>
    <row r="25" spans="6:8">
      <c r="F25" s="5" t="s">
        <v>39</v>
      </c>
      <c r="G25" s="4" t="s">
        <v>56</v>
      </c>
    </row>
    <row r="26" spans="6:8">
      <c r="F26" s="6"/>
    </row>
    <row r="27" spans="6:8">
      <c r="F27" s="5" t="s">
        <v>44</v>
      </c>
      <c r="G27" s="4" t="s">
        <v>43</v>
      </c>
    </row>
    <row r="28" spans="6:8">
      <c r="F28" s="6"/>
    </row>
    <row r="29" spans="6:8">
      <c r="F29" s="5" t="s">
        <v>7</v>
      </c>
      <c r="G29" s="4" t="s">
        <v>4</v>
      </c>
    </row>
    <row r="30" spans="6:8">
      <c r="F30" s="6"/>
    </row>
    <row r="31" spans="6:8">
      <c r="F31" s="5" t="s">
        <v>6</v>
      </c>
      <c r="G31" s="4" t="s">
        <v>5</v>
      </c>
    </row>
    <row r="32" spans="6:8">
      <c r="F32" s="6"/>
    </row>
    <row r="33" spans="6:8">
      <c r="F33" s="5" t="s">
        <v>10</v>
      </c>
      <c r="G33" s="4" t="s">
        <v>11</v>
      </c>
    </row>
    <row r="34" spans="6:8">
      <c r="F34" s="6"/>
    </row>
    <row r="35" spans="6:8">
      <c r="F35" s="5" t="s">
        <v>12</v>
      </c>
      <c r="G35" s="4" t="s">
        <v>13</v>
      </c>
    </row>
    <row r="36" spans="6:8">
      <c r="F36" s="6"/>
    </row>
    <row r="37" spans="6:8">
      <c r="F37" s="5" t="s">
        <v>69</v>
      </c>
      <c r="G37" s="4">
        <v>7</v>
      </c>
    </row>
    <row r="38" spans="6:8">
      <c r="F38" s="6"/>
    </row>
    <row r="39" spans="6:8">
      <c r="F39" s="5" t="s">
        <v>121</v>
      </c>
      <c r="G39" s="4">
        <v>7</v>
      </c>
    </row>
    <row r="40" spans="6:8">
      <c r="F40" s="6"/>
    </row>
    <row r="41" spans="6:8">
      <c r="F41" s="5" t="s">
        <v>126</v>
      </c>
      <c r="G41" s="4" t="s">
        <v>128</v>
      </c>
      <c r="H41" s="3" t="s">
        <v>0</v>
      </c>
    </row>
    <row r="42" spans="6:8">
      <c r="F42" s="6"/>
    </row>
    <row r="43" spans="6:8">
      <c r="F43" s="5" t="s">
        <v>127</v>
      </c>
      <c r="G43" s="4" t="s">
        <v>66</v>
      </c>
      <c r="H43" s="3" t="s">
        <v>0</v>
      </c>
    </row>
    <row r="44" spans="6:8">
      <c r="F44" s="6"/>
    </row>
    <row r="45" spans="6:8">
      <c r="F45" s="5" t="s">
        <v>123</v>
      </c>
      <c r="G45" s="4">
        <v>9</v>
      </c>
    </row>
    <row r="46" spans="6:8">
      <c r="F46" s="6"/>
    </row>
    <row r="47" spans="6:8">
      <c r="F47" s="5" t="s">
        <v>122</v>
      </c>
      <c r="G47" s="4">
        <v>10</v>
      </c>
    </row>
    <row r="48" spans="6:8">
      <c r="F48" s="6"/>
    </row>
    <row r="49" spans="6:7">
      <c r="F49" s="5" t="s">
        <v>124</v>
      </c>
      <c r="G49" s="4">
        <v>11</v>
      </c>
    </row>
    <row r="50" spans="6:7">
      <c r="F50" s="6"/>
    </row>
    <row r="51" spans="6:7">
      <c r="F51" s="5" t="s">
        <v>125</v>
      </c>
      <c r="G51" s="4">
        <v>12</v>
      </c>
    </row>
    <row r="52" spans="6:7">
      <c r="F52" s="6"/>
    </row>
    <row r="53" spans="6:7">
      <c r="F53" s="5" t="s">
        <v>54</v>
      </c>
      <c r="G53" s="4">
        <v>15</v>
      </c>
    </row>
    <row r="54" spans="6:7">
      <c r="F54" s="6"/>
    </row>
    <row r="55" spans="6:7">
      <c r="F55" s="5" t="s">
        <v>55</v>
      </c>
      <c r="G55" s="4">
        <v>9</v>
      </c>
    </row>
    <row r="56" spans="6:7">
      <c r="F56" s="6"/>
    </row>
    <row r="57" spans="6:7">
      <c r="F57" s="5" t="s">
        <v>26</v>
      </c>
      <c r="G57" s="4">
        <v>4</v>
      </c>
    </row>
    <row r="58" spans="6:7">
      <c r="F58" s="6"/>
    </row>
    <row r="59" spans="6:7">
      <c r="F59" s="5" t="s">
        <v>53</v>
      </c>
      <c r="G59" s="4">
        <v>4</v>
      </c>
    </row>
    <row r="60" spans="6:7">
      <c r="F60" s="6"/>
    </row>
    <row r="61" spans="6:7">
      <c r="F61" s="5" t="s">
        <v>63</v>
      </c>
      <c r="G61" s="4">
        <v>20</v>
      </c>
    </row>
    <row r="62" spans="6:7">
      <c r="F62" s="6"/>
    </row>
    <row r="63" spans="6:7">
      <c r="F63" s="5" t="s">
        <v>3</v>
      </c>
      <c r="G63" s="4">
        <v>9</v>
      </c>
    </row>
    <row r="64" spans="6:7">
      <c r="F64" s="6"/>
    </row>
    <row r="65" spans="6:7">
      <c r="F65" s="5" t="s">
        <v>9</v>
      </c>
      <c r="G65" s="4">
        <v>8</v>
      </c>
    </row>
    <row r="66" spans="6:7">
      <c r="F66" s="6"/>
    </row>
    <row r="67" spans="6:7">
      <c r="F67" s="5" t="s">
        <v>62</v>
      </c>
      <c r="G67" s="4">
        <v>4</v>
      </c>
    </row>
    <row r="69" spans="6:7">
      <c r="F69" s="5" t="s">
        <v>115</v>
      </c>
      <c r="G69" s="4" t="s">
        <v>28</v>
      </c>
    </row>
    <row r="71" spans="6:7">
      <c r="F71" s="5" t="s">
        <v>111</v>
      </c>
      <c r="G71" s="4" t="s">
        <v>110</v>
      </c>
    </row>
    <row r="73" spans="6:7">
      <c r="F73" s="5" t="s">
        <v>156</v>
      </c>
      <c r="G73" s="4" t="s">
        <v>119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D7" sqref="D7"/>
    </sheetView>
  </sheetViews>
  <sheetFormatPr defaultColWidth="9" defaultRowHeight="14.5"/>
  <cols>
    <col min="1" max="2" width="5.7265625" style="19" customWidth="1"/>
    <col min="3" max="3" width="23.36328125" style="19" customWidth="1"/>
    <col min="4" max="4" width="30.26953125" style="19" customWidth="1"/>
    <col min="5" max="16384" width="9" style="19"/>
  </cols>
  <sheetData>
    <row r="6" spans="3:5">
      <c r="C6" s="5" t="s">
        <v>107</v>
      </c>
      <c r="D6" s="4" t="s">
        <v>213</v>
      </c>
      <c r="E6" s="20" t="s">
        <v>106</v>
      </c>
    </row>
    <row r="8" spans="3:5">
      <c r="E8" s="20"/>
    </row>
    <row r="12" spans="3:5">
      <c r="E12" s="20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2"/>
  <sheetViews>
    <sheetView workbookViewId="0">
      <selection activeCell="B3" sqref="B3"/>
    </sheetView>
  </sheetViews>
  <sheetFormatPr defaultRowHeight="14.5"/>
  <cols>
    <col min="2" max="2" width="10.453125" bestFit="1" customWidth="1"/>
    <col min="3" max="3" width="16.36328125" customWidth="1"/>
  </cols>
  <sheetData>
    <row r="1" spans="2:3">
      <c r="B1" t="s">
        <v>132</v>
      </c>
      <c r="C1" t="s">
        <v>133</v>
      </c>
    </row>
    <row r="2" spans="2:3">
      <c r="B2" s="21">
        <v>43125</v>
      </c>
      <c r="C2" t="s">
        <v>134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3"/>
  <sheetViews>
    <sheetView workbookViewId="0">
      <selection activeCell="D9" sqref="D9"/>
    </sheetView>
  </sheetViews>
  <sheetFormatPr defaultColWidth="9" defaultRowHeight="16.5"/>
  <cols>
    <col min="1" max="1" width="9" style="22"/>
    <col min="2" max="2" width="17.90625" style="22" customWidth="1"/>
    <col min="3" max="16384" width="9" style="22"/>
  </cols>
  <sheetData>
    <row r="3" spans="2:3" ht="32.25" customHeight="1"/>
    <row r="4" spans="2:3">
      <c r="B4" s="23" t="s">
        <v>135</v>
      </c>
    </row>
    <row r="5" spans="2:3">
      <c r="B5" s="22" t="s">
        <v>136</v>
      </c>
    </row>
    <row r="7" spans="2:3">
      <c r="B7" s="23" t="s">
        <v>137</v>
      </c>
    </row>
    <row r="8" spans="2:3">
      <c r="B8" s="22" t="s">
        <v>138</v>
      </c>
    </row>
    <row r="9" spans="2:3">
      <c r="B9" s="22" t="s">
        <v>139</v>
      </c>
    </row>
    <row r="10" spans="2:3">
      <c r="B10" s="22" t="s">
        <v>140</v>
      </c>
    </row>
    <row r="12" spans="2:3">
      <c r="B12" s="23" t="s">
        <v>141</v>
      </c>
    </row>
    <row r="13" spans="2:3">
      <c r="B13" s="22" t="s">
        <v>142</v>
      </c>
      <c r="C13" s="22">
        <v>0.9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3:L28"/>
  <sheetViews>
    <sheetView workbookViewId="0">
      <selection activeCell="F7" sqref="F7"/>
    </sheetView>
  </sheetViews>
  <sheetFormatPr defaultRowHeight="14.5"/>
  <sheetData>
    <row r="3" spans="2:6">
      <c r="B3" s="26" t="s">
        <v>144</v>
      </c>
      <c r="C3" s="25" t="s">
        <v>148</v>
      </c>
      <c r="D3" s="25" t="s">
        <v>149</v>
      </c>
      <c r="E3" s="25" t="s">
        <v>182</v>
      </c>
      <c r="F3" s="25" t="s">
        <v>191</v>
      </c>
    </row>
    <row r="4" spans="2:6">
      <c r="B4" s="26" t="s">
        <v>150</v>
      </c>
      <c r="C4" s="25">
        <v>171</v>
      </c>
      <c r="D4" s="25">
        <v>370</v>
      </c>
      <c r="E4" s="25">
        <v>238</v>
      </c>
      <c r="F4" s="25">
        <v>350</v>
      </c>
    </row>
    <row r="5" spans="2:6">
      <c r="B5" s="26" t="s">
        <v>151</v>
      </c>
      <c r="C5" s="25">
        <v>184</v>
      </c>
      <c r="D5" s="25">
        <v>194</v>
      </c>
      <c r="E5" s="25">
        <v>225</v>
      </c>
      <c r="F5" s="25">
        <v>200</v>
      </c>
    </row>
    <row r="6" spans="2:6">
      <c r="B6" s="26" t="s">
        <v>152</v>
      </c>
      <c r="C6" s="25">
        <v>60</v>
      </c>
      <c r="D6" s="25">
        <v>35</v>
      </c>
      <c r="E6" s="25">
        <v>37</v>
      </c>
      <c r="F6" s="25">
        <v>185</v>
      </c>
    </row>
    <row r="7" spans="2:6">
      <c r="B7" s="26" t="s">
        <v>153</v>
      </c>
      <c r="C7" s="25">
        <v>100</v>
      </c>
      <c r="D7" s="25">
        <v>35</v>
      </c>
      <c r="E7" s="25">
        <v>37</v>
      </c>
      <c r="F7" s="25">
        <v>50</v>
      </c>
    </row>
    <row r="9" spans="2:6" hidden="1"/>
    <row r="10" spans="2:6" hidden="1"/>
    <row r="11" spans="2:6" hidden="1"/>
    <row r="12" spans="2:6" hidden="1"/>
    <row r="13" spans="2:6" hidden="1"/>
    <row r="14" spans="2:6" hidden="1"/>
    <row r="15" spans="2:6" hidden="1"/>
    <row r="16" spans="2:6" hidden="1"/>
    <row r="17" spans="1:12" hidden="1"/>
    <row r="18" spans="1:12" hidden="1"/>
    <row r="19" spans="1:12" hidden="1"/>
    <row r="21" spans="1:12">
      <c r="A21" s="25" t="s">
        <v>143</v>
      </c>
      <c r="B21" s="25" t="s">
        <v>144</v>
      </c>
      <c r="C21" s="25" t="s">
        <v>145</v>
      </c>
      <c r="D21" s="25" t="s">
        <v>146</v>
      </c>
      <c r="E21" s="25" t="s">
        <v>157</v>
      </c>
      <c r="F21" s="25" t="s">
        <v>158</v>
      </c>
      <c r="G21" s="25" t="s">
        <v>159</v>
      </c>
      <c r="H21" s="25" t="s">
        <v>160</v>
      </c>
      <c r="I21" s="25" t="s">
        <v>161</v>
      </c>
      <c r="J21" s="25" t="s">
        <v>162</v>
      </c>
      <c r="K21" s="25" t="s">
        <v>163</v>
      </c>
      <c r="L21" s="25" t="s">
        <v>164</v>
      </c>
    </row>
    <row r="22" spans="1:12">
      <c r="A22" t="s">
        <v>147</v>
      </c>
      <c r="B22" t="s">
        <v>154</v>
      </c>
      <c r="C22" t="s">
        <v>155</v>
      </c>
      <c r="D22" t="s">
        <v>172</v>
      </c>
      <c r="E22">
        <v>1</v>
      </c>
    </row>
    <row r="23" spans="1:12">
      <c r="A23" t="s">
        <v>173</v>
      </c>
      <c r="B23" t="s">
        <v>174</v>
      </c>
      <c r="C23" t="s">
        <v>175</v>
      </c>
      <c r="D23">
        <v>0</v>
      </c>
      <c r="F23">
        <v>1</v>
      </c>
    </row>
    <row r="24" spans="1:12">
      <c r="A24" t="s">
        <v>179</v>
      </c>
      <c r="B24" t="s">
        <v>180</v>
      </c>
      <c r="C24" t="s">
        <v>181</v>
      </c>
      <c r="D24">
        <v>0</v>
      </c>
      <c r="G24">
        <v>1</v>
      </c>
    </row>
    <row r="25" spans="1:12">
      <c r="A25" t="s">
        <v>187</v>
      </c>
      <c r="B25" t="s">
        <v>192</v>
      </c>
      <c r="C25" t="s">
        <v>193</v>
      </c>
      <c r="D25">
        <v>0</v>
      </c>
      <c r="H25">
        <v>1</v>
      </c>
    </row>
    <row r="26" spans="1:12">
      <c r="A26" t="s">
        <v>188</v>
      </c>
      <c r="B26" t="s">
        <v>192</v>
      </c>
      <c r="C26" t="s">
        <v>193</v>
      </c>
      <c r="D26">
        <v>0</v>
      </c>
      <c r="H26">
        <v>1</v>
      </c>
    </row>
    <row r="27" spans="1:12">
      <c r="A27" t="s">
        <v>189</v>
      </c>
      <c r="B27" t="s">
        <v>192</v>
      </c>
      <c r="C27" t="s">
        <v>193</v>
      </c>
      <c r="D27">
        <v>0</v>
      </c>
      <c r="H27">
        <v>1</v>
      </c>
    </row>
    <row r="28" spans="1:12">
      <c r="A28" t="s">
        <v>190</v>
      </c>
      <c r="B28" t="s">
        <v>192</v>
      </c>
      <c r="C28" t="s">
        <v>193</v>
      </c>
      <c r="D28" t="s">
        <v>212</v>
      </c>
      <c r="H2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core_actions</vt:lpstr>
      <vt:lpstr>core_setup</vt:lpstr>
      <vt:lpstr>core_display_setup</vt:lpstr>
      <vt:lpstr>core_changelog</vt:lpstr>
      <vt:lpstr>core_about</vt:lpstr>
      <vt:lpstr>if_findpic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Pan, Richard (SGRE OF PPM LOC SHA TCS)</cp:lastModifiedBy>
  <dcterms:created xsi:type="dcterms:W3CDTF">2017-11-26T11:41:00Z</dcterms:created>
  <dcterms:modified xsi:type="dcterms:W3CDTF">2018-12-21T06:29:11Z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