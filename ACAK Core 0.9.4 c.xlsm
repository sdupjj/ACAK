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1.xml" ContentType="application/vnd.ms-excel.controlpropertie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dupjj\Desktop\folders\vba\ACAK\ACAK Core\ACAK Core 0.9.4 - c\"/>
    </mc:Choice>
  </mc:AlternateContent>
  <xr:revisionPtr revIDLastSave="0" documentId="13_ncr:1_{54A2DEE2-8142-4A9B-8D7B-2D22FA464C6C}" xr6:coauthVersionLast="40" xr6:coauthVersionMax="40" xr10:uidLastSave="{00000000-0000-0000-0000-000000000000}"/>
  <bookViews>
    <workbookView xWindow="9060" yWindow="-15" windowWidth="9255" windowHeight="10530" tabRatio="770" xr2:uid="{00000000-000D-0000-FFFF-FFFF00000000}"/>
  </bookViews>
  <sheets>
    <sheet name="core_screen" sheetId="3" r:id="rId1"/>
    <sheet name="core_if" sheetId="7" state="hidden" r:id="rId2"/>
    <sheet name="core_count" sheetId="8" state="hidden" r:id="rId3"/>
    <sheet name="core_log" sheetId="9" state="hidden" r:id="rId4"/>
    <sheet name="core_engine_setup" sheetId="5" state="hidden" r:id="rId5"/>
    <sheet name="core_ACAK_setup" sheetId="6" state="hidden" r:id="rId6"/>
    <sheet name="core_homepage" sheetId="10" r:id="rId7"/>
    <sheet name="core_ifcamp" sheetId="64" state="hidden" r:id="rId8"/>
    <sheet name="core_homepage_setup" sheetId="30" state="hidden" r:id="rId9"/>
    <sheet name="core_plugin" sheetId="17" state="hidden" r:id="rId10"/>
    <sheet name="core_debug" sheetId="15" state="hidden" r:id="rId11"/>
    <sheet name="core_actions" sheetId="11" state="hidden" r:id="rId12"/>
    <sheet name="core_setup" sheetId="4" state="hidden" r:id="rId13"/>
    <sheet name="core_display_setup" sheetId="12" state="hidden" r:id="rId14"/>
    <sheet name="core_changelog" sheetId="13" state="hidden" r:id="rId15"/>
    <sheet name="core_about" sheetId="14" state="hidden" r:id="rId16"/>
  </sheets>
  <functionGroups builtInGroupCount="19"/>
  <calcPr calcId="181029"/>
</workbook>
</file>

<file path=xl/calcChain.xml><?xml version="1.0" encoding="utf-8"?>
<calcChain xmlns="http://schemas.openxmlformats.org/spreadsheetml/2006/main">
  <c r="F11" i="3" l="1"/>
  <c r="C19" i="30" l="1"/>
  <c r="C20" i="30" s="1"/>
  <c r="C21" i="30" s="1"/>
  <c r="C22" i="30" s="1"/>
  <c r="C23" i="30" s="1"/>
  <c r="C24" i="30" s="1"/>
  <c r="C25" i="30" s="1"/>
  <c r="C11" i="30"/>
  <c r="C12" i="30" s="1"/>
  <c r="C13" i="30" s="1"/>
  <c r="C14" i="30" s="1"/>
  <c r="C15" i="30" s="1"/>
  <c r="C16" i="30" s="1"/>
  <c r="C17" i="30" s="1"/>
  <c r="C3" i="30"/>
  <c r="C4" i="30" s="1"/>
  <c r="C5" i="30" s="1"/>
  <c r="C6" i="30" s="1"/>
  <c r="C7" i="30" s="1"/>
  <c r="C8" i="30" s="1"/>
  <c r="C9" i="30" s="1"/>
  <c r="F10" i="3" l="1"/>
  <c r="F12" i="3"/>
</calcChain>
</file>

<file path=xl/sharedStrings.xml><?xml version="1.0" encoding="utf-8"?>
<sst xmlns="http://schemas.openxmlformats.org/spreadsheetml/2006/main" count="256" uniqueCount="206">
  <si>
    <t>(Y or N)</t>
    <phoneticPr fontId="1" type="noConversion"/>
  </si>
  <si>
    <t>Excel Path</t>
    <phoneticPr fontId="1" type="noConversion"/>
  </si>
  <si>
    <t>M02 Col Start Number</t>
    <phoneticPr fontId="1" type="noConversion"/>
  </si>
  <si>
    <t>core_engine_setup</t>
    <phoneticPr fontId="1" type="noConversion"/>
  </si>
  <si>
    <t>core_ACAK_setup</t>
    <phoneticPr fontId="1" type="noConversion"/>
  </si>
  <si>
    <t>ACAKSetupSheet</t>
    <phoneticPr fontId="1" type="noConversion"/>
  </si>
  <si>
    <t>EngineSetupSheet</t>
    <phoneticPr fontId="1" type="noConversion"/>
  </si>
  <si>
    <t>ActionsInWhichVBAModule</t>
    <phoneticPr fontId="1" type="noConversion"/>
  </si>
  <si>
    <t>M02 Rows</t>
    <phoneticPr fontId="1" type="noConversion"/>
  </si>
  <si>
    <t>IFSheet</t>
    <phoneticPr fontId="1" type="noConversion"/>
  </si>
  <si>
    <t>core_if</t>
    <phoneticPr fontId="1" type="noConversion"/>
  </si>
  <si>
    <t>CountSheet</t>
    <phoneticPr fontId="1" type="noConversion"/>
  </si>
  <si>
    <t>core_count</t>
    <phoneticPr fontId="1" type="noConversion"/>
  </si>
  <si>
    <t>count01</t>
    <phoneticPr fontId="1" type="noConversion"/>
  </si>
  <si>
    <t>count02</t>
    <phoneticPr fontId="1" type="noConversion"/>
  </si>
  <si>
    <t>count04</t>
  </si>
  <si>
    <t>count05</t>
  </si>
  <si>
    <t>count08</t>
  </si>
  <si>
    <t>count09</t>
  </si>
  <si>
    <t>count10</t>
  </si>
  <si>
    <t>&lt;-ACAK打开后 one所有运行次数</t>
    <phoneticPr fontId="1" type="noConversion"/>
  </si>
  <si>
    <t>&lt;-one重新发动后，运行次数</t>
    <phoneticPr fontId="1" type="noConversion"/>
  </si>
  <si>
    <t>EngineColumnSelectMethod</t>
    <phoneticPr fontId="1" type="noConversion"/>
  </si>
  <si>
    <t>M01 Rows</t>
    <phoneticPr fontId="1" type="noConversion"/>
  </si>
  <si>
    <t>1/2,1匹配首先合适的列，2匹配最合适的列</t>
    <phoneticPr fontId="1" type="noConversion"/>
  </si>
  <si>
    <t>core_log</t>
    <phoneticPr fontId="1" type="noConversion"/>
  </si>
  <si>
    <t>&lt;-log 记录次数</t>
    <phoneticPr fontId="1" type="noConversion"/>
  </si>
  <si>
    <t>When ACAK Start</t>
    <phoneticPr fontId="1" type="noConversion"/>
  </si>
  <si>
    <t>When ACAK End</t>
    <phoneticPr fontId="1" type="noConversion"/>
  </si>
  <si>
    <t>接口</t>
    <phoneticPr fontId="1" type="noConversion"/>
  </si>
  <si>
    <t>描述</t>
    <phoneticPr fontId="1" type="noConversion"/>
  </si>
  <si>
    <t>&lt;-Benchmark01</t>
    <phoneticPr fontId="1" type="noConversion"/>
  </si>
  <si>
    <t>&lt;-sample01</t>
    <phoneticPr fontId="1" type="noConversion"/>
  </si>
  <si>
    <t>判断1or0</t>
    <phoneticPr fontId="1" type="noConversion"/>
  </si>
  <si>
    <t>ScreenSheet</t>
    <phoneticPr fontId="1" type="noConversion"/>
  </si>
  <si>
    <t>func_core_020_ifcamp</t>
    <phoneticPr fontId="1" type="noConversion"/>
  </si>
  <si>
    <t>func_core_040_actionscamp</t>
    <phoneticPr fontId="1" type="noConversion"/>
  </si>
  <si>
    <t>IFInWhichVBAModule</t>
    <phoneticPr fontId="1" type="noConversion"/>
  </si>
  <si>
    <t>I6</t>
    <phoneticPr fontId="1" type="noConversion"/>
  </si>
  <si>
    <t>ShowStatusInWhichCellInScreenSheet</t>
    <phoneticPr fontId="1" type="noConversion"/>
  </si>
  <si>
    <t>G15</t>
    <phoneticPr fontId="1" type="noConversion"/>
  </si>
  <si>
    <t>count07</t>
    <phoneticPr fontId="1" type="noConversion"/>
  </si>
  <si>
    <t>Cell At "core_screen"</t>
    <phoneticPr fontId="1" type="noConversion"/>
  </si>
  <si>
    <t>Open Engine</t>
    <phoneticPr fontId="1" type="noConversion"/>
  </si>
  <si>
    <t>Actions</t>
    <phoneticPr fontId="1" type="noConversion"/>
  </si>
  <si>
    <t>M01 Cols</t>
    <phoneticPr fontId="1" type="noConversion"/>
  </si>
  <si>
    <t>M01 Row Start Number</t>
    <phoneticPr fontId="1" type="noConversion"/>
  </si>
  <si>
    <t>M01 Col Start Number</t>
    <phoneticPr fontId="1" type="noConversion"/>
  </si>
  <si>
    <t>core_screen</t>
    <phoneticPr fontId="1" type="noConversion"/>
  </si>
  <si>
    <t>ACAK file name</t>
    <phoneticPr fontId="1" type="noConversion"/>
  </si>
  <si>
    <t>Detail</t>
    <phoneticPr fontId="1" type="noConversion"/>
  </si>
  <si>
    <t>No</t>
    <phoneticPr fontId="1" type="noConversion"/>
  </si>
  <si>
    <t>M02 Cols</t>
    <phoneticPr fontId="1" type="noConversion"/>
  </si>
  <si>
    <t>M02 Row Start Number</t>
    <phoneticPr fontId="1" type="noConversion"/>
  </si>
  <si>
    <t>Y</t>
    <phoneticPr fontId="1" type="noConversion"/>
  </si>
  <si>
    <t>V</t>
  </si>
  <si>
    <t>IFdisplayinScreenCol</t>
    <phoneticPr fontId="1" type="noConversion"/>
  </si>
  <si>
    <t>Engine Loop</t>
    <phoneticPr fontId="1" type="noConversion"/>
  </si>
  <si>
    <t>a_BeZero "count01"</t>
    <phoneticPr fontId="1" type="noConversion"/>
  </si>
  <si>
    <t>a_BeZero "count02"</t>
    <phoneticPr fontId="1" type="noConversion"/>
  </si>
  <si>
    <t>a_BeZero "count03"</t>
    <phoneticPr fontId="1" type="noConversion"/>
  </si>
  <si>
    <t>a_ShowPage "core_homepage"</t>
    <phoneticPr fontId="1" type="noConversion"/>
  </si>
  <si>
    <t>When One Start</t>
    <phoneticPr fontId="9" type="noConversion"/>
  </si>
  <si>
    <t>a_BeZero "count02"</t>
    <phoneticPr fontId="9" type="noConversion"/>
  </si>
  <si>
    <t>displaymode</t>
    <phoneticPr fontId="1" type="noConversion"/>
  </si>
  <si>
    <t>a_SimpleExcel</t>
    <phoneticPr fontId="1" type="noConversion"/>
  </si>
  <si>
    <t>a_SimpleExcel "pro"</t>
    <phoneticPr fontId="1" type="noConversion"/>
  </si>
  <si>
    <t>\log\</t>
    <phoneticPr fontId="1" type="noConversion"/>
  </si>
  <si>
    <t>a_CheckFolder</t>
    <phoneticPr fontId="1" type="noConversion"/>
  </si>
  <si>
    <t>LogSheet</t>
    <phoneticPr fontId="1" type="noConversion"/>
  </si>
  <si>
    <t>a_LogInTXT</t>
    <phoneticPr fontId="1" type="noConversion"/>
  </si>
  <si>
    <t>VinScreenRow</t>
    <phoneticPr fontId="1" type="noConversion"/>
  </si>
  <si>
    <t>M00 ROW TOTAL</t>
    <phoneticPr fontId="1" type="noConversion"/>
  </si>
  <si>
    <t>M00 ROW TOTAL MAX</t>
    <phoneticPr fontId="1" type="noConversion"/>
  </si>
  <si>
    <t>M00 ROW ONE MAX</t>
    <phoneticPr fontId="1" type="noConversion"/>
  </si>
  <si>
    <t>M00 ROW ONE</t>
    <phoneticPr fontId="1" type="noConversion"/>
  </si>
  <si>
    <t>M00 Judge TOTAL MAX</t>
    <phoneticPr fontId="1" type="noConversion"/>
  </si>
  <si>
    <t>M00 Judge ONE MAX</t>
    <phoneticPr fontId="1" type="noConversion"/>
  </si>
  <si>
    <t>a_initialM00</t>
    <phoneticPr fontId="1" type="noConversion"/>
  </si>
  <si>
    <t>时间</t>
    <phoneticPr fontId="1" type="noConversion"/>
  </si>
  <si>
    <t>事件</t>
    <phoneticPr fontId="1" type="noConversion"/>
  </si>
  <si>
    <t>ACAK程序介绍：</t>
    <phoneticPr fontId="1" type="noConversion"/>
  </si>
  <si>
    <t>可定制化程度高</t>
    <phoneticPr fontId="1" type="noConversion"/>
  </si>
  <si>
    <t>快速部署</t>
    <phoneticPr fontId="1" type="noConversion"/>
  </si>
  <si>
    <t>无需在电脑中安装新的软件</t>
    <phoneticPr fontId="1" type="noConversion"/>
  </si>
  <si>
    <t>ACAK程序版本：</t>
    <phoneticPr fontId="1" type="noConversion"/>
  </si>
  <si>
    <t>ACAK核心：</t>
    <phoneticPr fontId="1" type="noConversion"/>
  </si>
  <si>
    <t xml:space="preserve"> </t>
    <phoneticPr fontId="1" type="noConversion"/>
  </si>
  <si>
    <t>count06</t>
    <phoneticPr fontId="1" type="noConversion"/>
  </si>
  <si>
    <t>if_IFonCo "G15", "count07", "count06"</t>
    <phoneticPr fontId="1" type="noConversion"/>
  </si>
  <si>
    <t>Action</t>
    <phoneticPr fontId="1" type="noConversion"/>
  </si>
  <si>
    <t>a_X8</t>
    <phoneticPr fontId="1" type="noConversion"/>
  </si>
  <si>
    <t>a_X8</t>
    <phoneticPr fontId="9" type="noConversion"/>
  </si>
  <si>
    <t>Folder For log</t>
    <phoneticPr fontId="1" type="noConversion"/>
  </si>
  <si>
    <t>Folder For Codes</t>
    <phoneticPr fontId="1" type="noConversion"/>
  </si>
  <si>
    <t>a_IniExcelName</t>
    <phoneticPr fontId="1" type="noConversion"/>
  </si>
  <si>
    <t>0.9 核心架构完成</t>
    <phoneticPr fontId="1" type="noConversion"/>
  </si>
  <si>
    <t>0.9.1 整理代码中的文本，清理非核心代码，增加一个a_ExportCode 可以导出所有vba代码</t>
    <phoneticPr fontId="1" type="noConversion"/>
  </si>
  <si>
    <t>0.9.2 增加一个a_LoadSetupVariables， 可以将值导入到全局变量</t>
    <phoneticPr fontId="1" type="noConversion"/>
  </si>
  <si>
    <t>count03</t>
    <phoneticPr fontId="1" type="noConversion"/>
  </si>
  <si>
    <t>simple or pro</t>
    <phoneticPr fontId="1" type="noConversion"/>
  </si>
  <si>
    <t>Folder For Plugin</t>
    <phoneticPr fontId="1" type="noConversion"/>
  </si>
  <si>
    <t>\plugin\</t>
    <phoneticPr fontId="1" type="noConversion"/>
  </si>
  <si>
    <t>Sheet For Plugin</t>
    <phoneticPr fontId="1" type="noConversion"/>
  </si>
  <si>
    <t>core_plugin</t>
    <phoneticPr fontId="1" type="noConversion"/>
  </si>
  <si>
    <t>0.9.3 增加新的一页叫 core_plugin 用来导入插件，增加一个a_FindPlugin来自动导入插件</t>
    <phoneticPr fontId="1" type="noConversion"/>
  </si>
  <si>
    <t>a_FindPlugin</t>
    <phoneticPr fontId="1" type="noConversion"/>
  </si>
  <si>
    <t>\codes backup\</t>
    <phoneticPr fontId="1" type="noConversion"/>
  </si>
  <si>
    <t>Plugin List</t>
  </si>
  <si>
    <t>Plugin No.</t>
  </si>
  <si>
    <t>Avaible plugin:</t>
  </si>
  <si>
    <t>Need load</t>
    <phoneticPr fontId="1" type="noConversion"/>
  </si>
  <si>
    <t>Need unload</t>
    <phoneticPr fontId="1" type="noConversion"/>
  </si>
  <si>
    <t>a_ReduceOne(Whichcount As String)</t>
  </si>
  <si>
    <t>a_BeZero(Whichcount As String)</t>
  </si>
  <si>
    <t>a_BeOne(Whichcount As String)</t>
  </si>
  <si>
    <t>a_ShapeShow(PS As String)</t>
  </si>
  <si>
    <t>a_ShapeHide()</t>
  </si>
  <si>
    <t>a_OpenOne()</t>
  </si>
  <si>
    <t>a_CloseOne()</t>
  </si>
  <si>
    <t>a_OpenActions()</t>
  </si>
  <si>
    <t>a_CloseActions()</t>
  </si>
  <si>
    <t>a_IniExcelName()</t>
  </si>
  <si>
    <t>a_SimpleExcel(Optional pro As String)</t>
  </si>
  <si>
    <t>a_ShowExcelSize(MinNormalMax As String)</t>
  </si>
  <si>
    <t>a_ShowPage(PageName As String)</t>
  </si>
  <si>
    <t>a_CheckFolder()</t>
  </si>
  <si>
    <t>a_LogInTXT()</t>
  </si>
  <si>
    <t>a_initialM00()</t>
  </si>
  <si>
    <t>a_changeOneLoppNumber(loopnumber As Long)</t>
  </si>
  <si>
    <t>a_ExportCode()</t>
  </si>
  <si>
    <t>a_FindPlugin()</t>
  </si>
  <si>
    <t>X</t>
    <phoneticPr fontId="1" type="noConversion"/>
  </si>
  <si>
    <t>Width</t>
    <phoneticPr fontId="1" type="noConversion"/>
  </si>
  <si>
    <t>Height</t>
    <phoneticPr fontId="1" type="noConversion"/>
  </si>
  <si>
    <t>Status</t>
    <phoneticPr fontId="1" type="noConversion"/>
  </si>
  <si>
    <t>ShapeName</t>
    <phoneticPr fontId="1" type="noConversion"/>
  </si>
  <si>
    <t>Export codes of sheets, windows, modules to sub-folder “codes backup”.</t>
    <phoneticPr fontId="1" type="noConversion"/>
  </si>
  <si>
    <t>ACAK程序优点：</t>
    <phoneticPr fontId="1" type="noConversion"/>
  </si>
  <si>
    <t>ACAK程序缺点：</t>
    <phoneticPr fontId="1" type="noConversion"/>
  </si>
  <si>
    <t>单线程</t>
    <phoneticPr fontId="1" type="noConversion"/>
  </si>
  <si>
    <t>代码业余</t>
    <phoneticPr fontId="1" type="noConversion"/>
  </si>
  <si>
    <t>Excel365 目前运行不稳定</t>
    <phoneticPr fontId="1" type="noConversion"/>
  </si>
  <si>
    <t>Loaded plugin:</t>
    <phoneticPr fontId="1" type="noConversion"/>
  </si>
  <si>
    <t>Gap</t>
    <phoneticPr fontId="1" type="noConversion"/>
  </si>
  <si>
    <t>IF</t>
    <phoneticPr fontId="1" type="noConversion"/>
  </si>
  <si>
    <t>if_IFonCo(WhichRange As String, WhichCountTimely As String, WhichCountBenchmark As String)</t>
  </si>
  <si>
    <t>Plugin No. :</t>
    <phoneticPr fontId="1" type="noConversion"/>
  </si>
  <si>
    <t xml:space="preserve"> </t>
    <phoneticPr fontId="1" type="noConversion"/>
  </si>
  <si>
    <t>G16</t>
    <phoneticPr fontId="1" type="noConversion"/>
  </si>
  <si>
    <t>count07&lt;1?</t>
    <phoneticPr fontId="1" type="noConversion"/>
  </si>
  <si>
    <t>&lt;-sample02</t>
    <phoneticPr fontId="1" type="noConversion"/>
  </si>
  <si>
    <t>&lt;-Benchmark02</t>
    <phoneticPr fontId="1" type="noConversion"/>
  </si>
  <si>
    <t>count07&gt;=1?</t>
    <phoneticPr fontId="1" type="noConversion"/>
  </si>
  <si>
    <t>1   空程序</t>
  </si>
  <si>
    <t>1   为count原有的值增加1</t>
  </si>
  <si>
    <t>1   为count原有的值减少1</t>
  </si>
  <si>
    <t>1   设置count的值为0</t>
  </si>
  <si>
    <t>1   设置count的值为1</t>
  </si>
  <si>
    <t>1   显示备注，which放在图形中</t>
  </si>
  <si>
    <t>1   隐藏备注</t>
  </si>
  <si>
    <t>1   设置one引擎能被打开</t>
  </si>
  <si>
    <t>1   设置one引擎不能被打开</t>
  </si>
  <si>
    <t>1   打开执行动作功能</t>
  </si>
  <si>
    <t>1   关闭执行动作功能</t>
  </si>
  <si>
    <t>1   把excel工作簿本身的名字与ACAK的文档路径，写入 setup</t>
  </si>
  <si>
    <t>1   是否简单化excelsheet页的显示 让他看上去更像一个程序</t>
  </si>
  <si>
    <t>1   最大化，最小化，正常化excel工具</t>
  </si>
  <si>
    <t>1   显示指定的sheet,同时保留welcomepage和homepage，其他页隐藏</t>
  </si>
  <si>
    <t>1   检查在setup页,指定的文件夹是否存在，不存在则创建</t>
  </si>
  <si>
    <t>1   将log 页里面的内容加入到TXT中，log页清空</t>
  </si>
  <si>
    <t>1   将M00 中的值归0</t>
  </si>
  <si>
    <t>1   设置one引擎的运作次数</t>
  </si>
  <si>
    <t>1   导出ACAK中所有代码</t>
  </si>
  <si>
    <t>1   将子目录中具有plugin功能的xlsm文件探测出，并在core_plugin中显示，并导入</t>
  </si>
  <si>
    <t>1   eye接口，如果WhichCountTimely &gt;= WhichCountBenchmark,对应的值为1，反之则为0</t>
  </si>
  <si>
    <t>N</t>
    <phoneticPr fontId="1" type="noConversion"/>
  </si>
  <si>
    <t>When One End(when all loop finished, it works. If One stop before all loop finished, this column will not be run)</t>
    <phoneticPr fontId="9" type="noConversion"/>
  </si>
  <si>
    <t>Done</t>
    <phoneticPr fontId="1" type="noConversion"/>
  </si>
  <si>
    <t>a_AddOne "count07"</t>
    <phoneticPr fontId="1" type="noConversion"/>
  </si>
  <si>
    <t>a_AddOne "count08"</t>
    <phoneticPr fontId="1" type="noConversion"/>
  </si>
  <si>
    <t>a_X8</t>
    <phoneticPr fontId="1" type="noConversion"/>
  </si>
  <si>
    <t>a_BeZero "count08"</t>
    <phoneticPr fontId="1" type="noConversion"/>
  </si>
  <si>
    <t>a_BeZero "count07"</t>
    <phoneticPr fontId="1" type="noConversion"/>
  </si>
  <si>
    <t>count08&gt;=1?</t>
    <phoneticPr fontId="1" type="noConversion"/>
  </si>
  <si>
    <t>.</t>
    <phoneticPr fontId="1" type="noConversion"/>
  </si>
  <si>
    <t>ACAK = Robot based on Excel + VBA</t>
    <phoneticPr fontId="1" type="noConversion"/>
  </si>
  <si>
    <t>a_X8()</t>
  </si>
  <si>
    <t>Folder For Plugin Sub Folder 01</t>
    <phoneticPr fontId="1" type="noConversion"/>
  </si>
  <si>
    <t>a_AddOne(Whichcount As String)</t>
  </si>
  <si>
    <t>a_IFController()</t>
  </si>
  <si>
    <t>1   运行一次c_IFController, 让IF sensor 都运行一次</t>
  </si>
  <si>
    <t>a_IFController</t>
    <phoneticPr fontId="9" type="noConversion"/>
  </si>
  <si>
    <t>LogLevel</t>
    <phoneticPr fontId="1" type="noConversion"/>
  </si>
  <si>
    <t>Debug;Error;Print;Info</t>
    <phoneticPr fontId="1" type="noConversion"/>
  </si>
  <si>
    <t>count08&lt;1?</t>
    <phoneticPr fontId="1" type="noConversion"/>
  </si>
  <si>
    <t>if_IFonCo "G16", "count08", "count06"</t>
    <phoneticPr fontId="1" type="noConversion"/>
  </si>
  <si>
    <t>Info;Error;Print;Debug</t>
    <phoneticPr fontId="1" type="noConversion"/>
  </si>
  <si>
    <t>ACAK Core 0.9.4 c.xlsm - Excel</t>
    <phoneticPr fontId="1" type="noConversion"/>
  </si>
  <si>
    <t>C:\Users\sdupjj\Desktop\folders\vba\ACAK\ACAK Core\ACAK Core 0.9.4 - c\</t>
    <phoneticPr fontId="1" type="noConversion"/>
  </si>
  <si>
    <t>0.9.4 c</t>
    <phoneticPr fontId="1" type="noConversion"/>
  </si>
  <si>
    <t>Plugin Time 0.3.xlsm</t>
  </si>
  <si>
    <t>ShowErrorWindow</t>
    <phoneticPr fontId="1" type="noConversion"/>
  </si>
  <si>
    <t>simple</t>
    <phoneticPr fontId="1" type="noConversion"/>
  </si>
  <si>
    <t>Y</t>
    <phoneticPr fontId="1" type="noConversion"/>
  </si>
  <si>
    <t>2019/1/6 15:09:29 &lt;Debug&gt; a_LogInTXT 耗时：  .1563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</si>
</sst>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0"/>
      <color theme="0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9"/>
      <name val="宋体"/>
      <family val="3"/>
      <charset val="134"/>
    </font>
    <font>
      <sz val="11"/>
      <color theme="0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11"/>
      <color rgb="FF000000"/>
      <name val="微软雅黑"/>
      <family val="2"/>
      <charset val="134"/>
    </font>
    <font>
      <sz val="11"/>
      <color rgb="FF000000"/>
      <name val="宋体"/>
      <family val="3"/>
      <charset val="134"/>
    </font>
  </fonts>
  <fills count="19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AA74B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CF012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4" fillId="3" borderId="0" xfId="0" applyFont="1" applyFill="1" applyAlignment="1">
      <alignment horizontal="right" vertical="center"/>
    </xf>
    <xf numFmtId="0" fontId="5" fillId="2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3" fillId="2" borderId="0" xfId="0" quotePrefix="1" applyFont="1" applyFill="1" applyAlignment="1">
      <alignment horizontal="left" vertical="center"/>
    </xf>
    <xf numFmtId="0" fontId="0" fillId="0" borderId="1" xfId="0" applyBorder="1">
      <alignment vertical="center"/>
    </xf>
    <xf numFmtId="0" fontId="6" fillId="8" borderId="0" xfId="0" applyFont="1" applyFill="1">
      <alignment vertical="center"/>
    </xf>
    <xf numFmtId="0" fontId="7" fillId="6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9" borderId="0" xfId="0" applyFont="1" applyFill="1">
      <alignment vertical="center"/>
    </xf>
    <xf numFmtId="0" fontId="8" fillId="11" borderId="0" xfId="0" applyFont="1" applyFill="1" applyAlignment="1"/>
    <xf numFmtId="0" fontId="0" fillId="3" borderId="0" xfId="0" applyFill="1" applyAlignment="1"/>
    <xf numFmtId="0" fontId="0" fillId="12" borderId="0" xfId="0" applyFill="1">
      <alignment vertical="center"/>
    </xf>
    <xf numFmtId="0" fontId="2" fillId="12" borderId="0" xfId="0" applyFont="1" applyFill="1">
      <alignment vertical="center"/>
    </xf>
    <xf numFmtId="14" fontId="0" fillId="0" borderId="0" xfId="0" applyNumberFormat="1">
      <alignment vertical="center"/>
    </xf>
    <xf numFmtId="0" fontId="6" fillId="6" borderId="0" xfId="0" applyFont="1" applyFill="1">
      <alignment vertical="center"/>
    </xf>
    <xf numFmtId="0" fontId="10" fillId="2" borderId="0" xfId="0" applyFont="1" applyFill="1">
      <alignment vertical="center"/>
    </xf>
    <xf numFmtId="0" fontId="7" fillId="8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vertical="center"/>
    </xf>
    <xf numFmtId="0" fontId="10" fillId="9" borderId="0" xfId="0" applyFont="1" applyFill="1" applyAlignment="1">
      <alignment vertical="center" wrapText="1"/>
    </xf>
    <xf numFmtId="0" fontId="4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0" borderId="0" xfId="0" quotePrefix="1">
      <alignment vertical="center"/>
    </xf>
    <xf numFmtId="0" fontId="13" fillId="10" borderId="2" xfId="0" applyFont="1" applyFill="1" applyBorder="1" applyAlignment="1">
      <alignment horizontal="left" vertical="center"/>
    </xf>
    <xf numFmtId="0" fontId="0" fillId="15" borderId="0" xfId="0" applyFill="1">
      <alignment vertical="center"/>
    </xf>
    <xf numFmtId="0" fontId="10" fillId="17" borderId="0" xfId="0" applyFont="1" applyFill="1" applyAlignment="1">
      <alignment horizontal="left" vertical="center"/>
    </xf>
    <xf numFmtId="0" fontId="10" fillId="8" borderId="0" xfId="0" applyFont="1" applyFill="1">
      <alignment vertical="center"/>
    </xf>
    <xf numFmtId="0" fontId="11" fillId="16" borderId="2" xfId="0" applyFont="1" applyFill="1" applyBorder="1" applyAlignment="1">
      <alignment horizontal="center"/>
    </xf>
    <xf numFmtId="0" fontId="3" fillId="2" borderId="0" xfId="0" applyFont="1" applyFill="1" applyAlignment="1">
      <alignment horizontal="left" vertical="center"/>
    </xf>
    <xf numFmtId="0" fontId="12" fillId="16" borderId="0" xfId="0" applyFont="1" applyFill="1" applyBorder="1" applyAlignment="1">
      <alignment horizontal="center" vertical="center"/>
    </xf>
    <xf numFmtId="0" fontId="11" fillId="18" borderId="2" xfId="0" applyFont="1" applyFill="1" applyBorder="1" applyAlignment="1">
      <alignment horizont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112059</xdr:colOff>
      <xdr:row>3</xdr:row>
      <xdr:rowOff>22411</xdr:rowOff>
    </xdr:from>
    <xdr:to>
      <xdr:col>5</xdr:col>
      <xdr:colOff>787211</xdr:colOff>
      <xdr:row>3</xdr:row>
      <xdr:rowOff>414617</xdr:rowOff>
    </xdr:to>
    <xdr:sp macro="[0]!'a_ShowPage &quot;core_homepage&quot;'" textlink="">
      <xdr:nvSpPr>
        <xdr:cNvPr id="16291" name="右箭头 21">
          <a:extLst>
            <a:ext uri="{FF2B5EF4-FFF2-40B4-BE49-F238E27FC236}">
              <a16:creationId xmlns:a16="http://schemas.microsoft.com/office/drawing/2014/main" id="{00000000-0008-0000-0000-0000A33F0000}"/>
            </a:ext>
          </a:extLst>
        </xdr:cNvPr>
        <xdr:cNvSpPr/>
      </xdr:nvSpPr>
      <xdr:spPr>
        <a:xfrm rot="16200000">
          <a:off x="421620" y="-11906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xdr:twoCellAnchor editAs="absolute">
    <xdr:from>
      <xdr:col>5</xdr:col>
      <xdr:colOff>703978</xdr:colOff>
      <xdr:row>18</xdr:row>
      <xdr:rowOff>0</xdr:rowOff>
    </xdr:from>
    <xdr:to>
      <xdr:col>6</xdr:col>
      <xdr:colOff>248244</xdr:colOff>
      <xdr:row>20</xdr:row>
      <xdr:rowOff>89380</xdr:rowOff>
    </xdr:to>
    <xdr:sp macro="[0]!c_CheckStatus" textlink="">
      <xdr:nvSpPr>
        <xdr:cNvPr id="16292" name="Rectangle 3">
          <a:extLst>
            <a:ext uri="{FF2B5EF4-FFF2-40B4-BE49-F238E27FC236}">
              <a16:creationId xmlns:a16="http://schemas.microsoft.com/office/drawing/2014/main" id="{00000000-0008-0000-0000-0000A43F0000}"/>
            </a:ext>
          </a:extLst>
        </xdr:cNvPr>
        <xdr:cNvSpPr/>
      </xdr:nvSpPr>
      <xdr:spPr>
        <a:xfrm>
          <a:off x="872066" y="3126441"/>
          <a:ext cx="653649" cy="515204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  <a:shade val="30000"/>
                <a:satMod val="115000"/>
              </a:schemeClr>
            </a:gs>
            <a:gs pos="50000">
              <a:schemeClr val="accent6">
                <a:lumMod val="75000"/>
                <a:shade val="67500"/>
                <a:satMod val="115000"/>
              </a:schemeClr>
            </a:gs>
            <a:gs pos="100000">
              <a:srgbClr val="FFFF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sz="1000"/>
            <a:t>Check</a:t>
          </a:r>
          <a:r>
            <a:rPr lang="en-US" sz="1000" baseline="0"/>
            <a:t> Stauts</a:t>
          </a:r>
          <a:endParaRPr lang="en-US" sz="1000"/>
        </a:p>
      </xdr:txBody>
    </xdr:sp>
    <xdr:clientData/>
  </xdr:twoCellAnchor>
  <xdr:twoCellAnchor editAs="absolute">
    <xdr:from>
      <xdr:col>5</xdr:col>
      <xdr:colOff>1553</xdr:colOff>
      <xdr:row>18</xdr:row>
      <xdr:rowOff>11206</xdr:rowOff>
    </xdr:from>
    <xdr:to>
      <xdr:col>5</xdr:col>
      <xdr:colOff>684928</xdr:colOff>
      <xdr:row>20</xdr:row>
      <xdr:rowOff>90080</xdr:rowOff>
    </xdr:to>
    <xdr:sp macro="[0]!c_one" textlink="">
      <xdr:nvSpPr>
        <xdr:cNvPr id="16293" name="Rectangle 7">
          <a:extLst>
            <a:ext uri="{FF2B5EF4-FFF2-40B4-BE49-F238E27FC236}">
              <a16:creationId xmlns:a16="http://schemas.microsoft.com/office/drawing/2014/main" id="{00000000-0008-0000-0000-0000A53F0000}"/>
            </a:ext>
          </a:extLst>
        </xdr:cNvPr>
        <xdr:cNvSpPr/>
      </xdr:nvSpPr>
      <xdr:spPr>
        <a:xfrm>
          <a:off x="169641" y="3137647"/>
          <a:ext cx="683375" cy="504698"/>
        </a:xfrm>
        <a:prstGeom prst="rect">
          <a:avLst/>
        </a:prstGeom>
        <a:gradFill flip="none" rotWithShape="1">
          <a:gsLst>
            <a:gs pos="0">
              <a:schemeClr val="accent2"/>
            </a:gs>
            <a:gs pos="50000">
              <a:schemeClr val="bg1">
                <a:lumMod val="50000"/>
              </a:schemeClr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One</a:t>
          </a:r>
        </a:p>
      </xdr:txBody>
    </xdr:sp>
    <xdr:clientData/>
  </xdr:twoCellAnchor>
  <xdr:twoCellAnchor editAs="absolute">
    <xdr:from>
      <xdr:col>5</xdr:col>
      <xdr:colOff>1553</xdr:colOff>
      <xdr:row>20</xdr:row>
      <xdr:rowOff>101986</xdr:rowOff>
    </xdr:from>
    <xdr:to>
      <xdr:col>5</xdr:col>
      <xdr:colOff>685308</xdr:colOff>
      <xdr:row>22</xdr:row>
      <xdr:rowOff>206414</xdr:rowOff>
    </xdr:to>
    <xdr:sp macro="[0]!a_OpenOne" textlink="">
      <xdr:nvSpPr>
        <xdr:cNvPr id="16294" name="Rectangle 4">
          <a:extLst>
            <a:ext uri="{FF2B5EF4-FFF2-40B4-BE49-F238E27FC236}">
              <a16:creationId xmlns:a16="http://schemas.microsoft.com/office/drawing/2014/main" id="{00000000-0008-0000-0000-0000A63F0000}"/>
            </a:ext>
          </a:extLst>
        </xdr:cNvPr>
        <xdr:cNvSpPr/>
      </xdr:nvSpPr>
      <xdr:spPr>
        <a:xfrm>
          <a:off x="169641" y="3654251"/>
          <a:ext cx="683755" cy="530251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Switch </a:t>
          </a:r>
          <a:r>
            <a:rPr lang="en-US" altLang="zh-CN" sz="1000" baseline="0"/>
            <a:t>On</a:t>
          </a:r>
          <a:endParaRPr lang="en-US" altLang="zh-CN" sz="1000"/>
        </a:p>
        <a:p>
          <a:pPr algn="l"/>
          <a:r>
            <a:rPr lang="en-US" altLang="zh-CN" sz="1000"/>
            <a:t>One</a:t>
          </a:r>
        </a:p>
      </xdr:txBody>
    </xdr:sp>
    <xdr:clientData/>
  </xdr:twoCellAnchor>
  <xdr:twoCellAnchor editAs="absolute">
    <xdr:from>
      <xdr:col>5</xdr:col>
      <xdr:colOff>701373</xdr:colOff>
      <xdr:row>20</xdr:row>
      <xdr:rowOff>113892</xdr:rowOff>
    </xdr:from>
    <xdr:to>
      <xdr:col>6</xdr:col>
      <xdr:colOff>251241</xdr:colOff>
      <xdr:row>23</xdr:row>
      <xdr:rowOff>430</xdr:rowOff>
    </xdr:to>
    <xdr:sp macro="[0]!a_OpenActions" textlink="">
      <xdr:nvSpPr>
        <xdr:cNvPr id="16295" name="Rectangle 9">
          <a:extLst>
            <a:ext uri="{FF2B5EF4-FFF2-40B4-BE49-F238E27FC236}">
              <a16:creationId xmlns:a16="http://schemas.microsoft.com/office/drawing/2014/main" id="{00000000-0008-0000-0000-0000A73F0000}"/>
            </a:ext>
          </a:extLst>
        </xdr:cNvPr>
        <xdr:cNvSpPr/>
      </xdr:nvSpPr>
      <xdr:spPr>
        <a:xfrm>
          <a:off x="869461" y="3666157"/>
          <a:ext cx="659251" cy="521911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indent="0" algn="l"/>
          <a:r>
            <a:rPr lang="en-US" altLang="zh-CN" sz="1000">
              <a:solidFill>
                <a:schemeClr val="lt1"/>
              </a:solidFill>
              <a:latin typeface="+mn-lt"/>
              <a:ea typeface="+mn-ea"/>
              <a:cs typeface="+mn-cs"/>
            </a:rPr>
            <a:t>Switch</a:t>
          </a:r>
          <a:r>
            <a:rPr lang="en-US" altLang="zh-CN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 On</a:t>
          </a:r>
        </a:p>
        <a:p>
          <a:pPr marL="0" indent="0" algn="l"/>
          <a:r>
            <a:rPr lang="en-US" altLang="zh-CN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Actions</a:t>
          </a:r>
          <a:endParaRPr lang="en-US" altLang="zh-CN" sz="1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1553</xdr:colOff>
      <xdr:row>23</xdr:row>
      <xdr:rowOff>28548</xdr:rowOff>
    </xdr:from>
    <xdr:to>
      <xdr:col>5</xdr:col>
      <xdr:colOff>685308</xdr:colOff>
      <xdr:row>25</xdr:row>
      <xdr:rowOff>83480</xdr:rowOff>
    </xdr:to>
    <xdr:sp macro="[0]!a_CloseOne" textlink="">
      <xdr:nvSpPr>
        <xdr:cNvPr id="16296" name="Rectangle 8">
          <a:extLst>
            <a:ext uri="{FF2B5EF4-FFF2-40B4-BE49-F238E27FC236}">
              <a16:creationId xmlns:a16="http://schemas.microsoft.com/office/drawing/2014/main" id="{00000000-0008-0000-0000-0000A83F0000}"/>
            </a:ext>
          </a:extLst>
        </xdr:cNvPr>
        <xdr:cNvSpPr/>
      </xdr:nvSpPr>
      <xdr:spPr>
        <a:xfrm>
          <a:off x="169641" y="4219548"/>
          <a:ext cx="683755" cy="480756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Swith</a:t>
          </a:r>
          <a:r>
            <a:rPr lang="en-US" altLang="zh-CN" sz="1000" baseline="0"/>
            <a:t> Off</a:t>
          </a:r>
          <a:endParaRPr lang="en-US" altLang="zh-CN" sz="1000"/>
        </a:p>
        <a:p>
          <a:pPr algn="l"/>
          <a:r>
            <a:rPr lang="en-US" altLang="zh-CN" sz="1000"/>
            <a:t>One</a:t>
          </a:r>
        </a:p>
      </xdr:txBody>
    </xdr:sp>
    <xdr:clientData/>
  </xdr:twoCellAnchor>
  <xdr:twoCellAnchor editAs="absolute">
    <xdr:from>
      <xdr:col>5</xdr:col>
      <xdr:colOff>701373</xdr:colOff>
      <xdr:row>23</xdr:row>
      <xdr:rowOff>29346</xdr:rowOff>
    </xdr:from>
    <xdr:to>
      <xdr:col>6</xdr:col>
      <xdr:colOff>251241</xdr:colOff>
      <xdr:row>25</xdr:row>
      <xdr:rowOff>79916</xdr:rowOff>
    </xdr:to>
    <xdr:sp macro="[0]!a_CloseActions" textlink="">
      <xdr:nvSpPr>
        <xdr:cNvPr id="16297" name="Rectangle 10">
          <a:extLst>
            <a:ext uri="{FF2B5EF4-FFF2-40B4-BE49-F238E27FC236}">
              <a16:creationId xmlns:a16="http://schemas.microsoft.com/office/drawing/2014/main" id="{00000000-0008-0000-0000-0000A93F0000}"/>
            </a:ext>
          </a:extLst>
        </xdr:cNvPr>
        <xdr:cNvSpPr/>
      </xdr:nvSpPr>
      <xdr:spPr>
        <a:xfrm>
          <a:off x="869461" y="4220346"/>
          <a:ext cx="659251" cy="476394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Switch</a:t>
          </a:r>
          <a:r>
            <a:rPr lang="en-US" altLang="zh-CN" sz="1000" baseline="0"/>
            <a:t> Off Actions</a:t>
          </a:r>
          <a:endParaRPr lang="en-US" altLang="zh-CN" sz="1000"/>
        </a:p>
      </xdr:txBody>
    </xdr:sp>
    <xdr:clientData/>
  </xdr:twoCellAnchor>
  <xdr:twoCellAnchor editAs="absolute">
    <xdr:from>
      <xdr:col>5</xdr:col>
      <xdr:colOff>0</xdr:colOff>
      <xdr:row>25</xdr:row>
      <xdr:rowOff>111453</xdr:rowOff>
    </xdr:from>
    <xdr:to>
      <xdr:col>5</xdr:col>
      <xdr:colOff>306000</xdr:colOff>
      <xdr:row>26</xdr:row>
      <xdr:rowOff>133302</xdr:rowOff>
    </xdr:to>
    <xdr:sp macro="[0]!'a_ShapeShow &quot;PS1&quot;'" textlink="">
      <xdr:nvSpPr>
        <xdr:cNvPr id="16298" name="Rectangle 8">
          <a:extLst>
            <a:ext uri="{FF2B5EF4-FFF2-40B4-BE49-F238E27FC236}">
              <a16:creationId xmlns:a16="http://schemas.microsoft.com/office/drawing/2014/main" id="{00000000-0008-0000-0000-0000AA3F0000}"/>
            </a:ext>
          </a:extLst>
        </xdr:cNvPr>
        <xdr:cNvSpPr/>
      </xdr:nvSpPr>
      <xdr:spPr>
        <a:xfrm>
          <a:off x="168088" y="4728277"/>
          <a:ext cx="306000" cy="234760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zh-CN" altLang="en-US" sz="800"/>
            <a:t>*</a:t>
          </a:r>
          <a:r>
            <a:rPr lang="en-US" altLang="zh-CN" sz="800"/>
            <a:t>PS1</a:t>
          </a:r>
        </a:p>
      </xdr:txBody>
    </xdr:sp>
    <xdr:clientData/>
  </xdr:twoCellAnchor>
  <xdr:twoCellAnchor editAs="absolute">
    <xdr:from>
      <xdr:col>5</xdr:col>
      <xdr:colOff>317543</xdr:colOff>
      <xdr:row>25</xdr:row>
      <xdr:rowOff>111086</xdr:rowOff>
    </xdr:from>
    <xdr:to>
      <xdr:col>5</xdr:col>
      <xdr:colOff>623543</xdr:colOff>
      <xdr:row>26</xdr:row>
      <xdr:rowOff>133289</xdr:rowOff>
    </xdr:to>
    <xdr:sp macro="[0]!'a_ShapeShow &quot;PS2&quot;'" textlink="">
      <xdr:nvSpPr>
        <xdr:cNvPr id="16299" name="Rectangle 8">
          <a:extLst>
            <a:ext uri="{FF2B5EF4-FFF2-40B4-BE49-F238E27FC236}">
              <a16:creationId xmlns:a16="http://schemas.microsoft.com/office/drawing/2014/main" id="{00000000-0008-0000-0000-0000AB3F0000}"/>
            </a:ext>
          </a:extLst>
        </xdr:cNvPr>
        <xdr:cNvSpPr/>
      </xdr:nvSpPr>
      <xdr:spPr>
        <a:xfrm>
          <a:off x="485631" y="4727910"/>
          <a:ext cx="306000" cy="235114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marL="0" indent="0" algn="l"/>
          <a:r>
            <a:rPr lang="zh-CN" altLang="en-US" sz="800">
              <a:solidFill>
                <a:schemeClr val="lt1"/>
              </a:solidFill>
              <a:latin typeface="+mn-lt"/>
              <a:ea typeface="+mn-ea"/>
              <a:cs typeface="+mn-cs"/>
            </a:rPr>
            <a:t>*</a:t>
          </a:r>
          <a:r>
            <a:rPr lang="en-US" altLang="zh-CN" sz="800">
              <a:solidFill>
                <a:schemeClr val="lt1"/>
              </a:solidFill>
              <a:latin typeface="+mn-lt"/>
              <a:ea typeface="+mn-ea"/>
              <a:cs typeface="+mn-cs"/>
            </a:rPr>
            <a:t>PS2</a:t>
          </a:r>
        </a:p>
      </xdr:txBody>
    </xdr:sp>
    <xdr:clientData/>
  </xdr:twoCellAnchor>
  <xdr:twoCellAnchor editAs="absolute">
    <xdr:from>
      <xdr:col>5</xdr:col>
      <xdr:colOff>643850</xdr:colOff>
      <xdr:row>25</xdr:row>
      <xdr:rowOff>110865</xdr:rowOff>
    </xdr:from>
    <xdr:to>
      <xdr:col>6</xdr:col>
      <xdr:colOff>257341</xdr:colOff>
      <xdr:row>26</xdr:row>
      <xdr:rowOff>133068</xdr:rowOff>
    </xdr:to>
    <xdr:sp macro="[0]!a_ShapeHide" textlink="">
      <xdr:nvSpPr>
        <xdr:cNvPr id="16300" name="Rectangle 8">
          <a:extLst>
            <a:ext uri="{FF2B5EF4-FFF2-40B4-BE49-F238E27FC236}">
              <a16:creationId xmlns:a16="http://schemas.microsoft.com/office/drawing/2014/main" id="{00000000-0008-0000-0000-0000AC3F0000}"/>
            </a:ext>
          </a:extLst>
        </xdr:cNvPr>
        <xdr:cNvSpPr/>
      </xdr:nvSpPr>
      <xdr:spPr>
        <a:xfrm>
          <a:off x="811938" y="4727689"/>
          <a:ext cx="722874" cy="235114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00B050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Close</a:t>
          </a:r>
        </a:p>
      </xdr:txBody>
    </xdr:sp>
    <xdr:clientData/>
  </xdr:twoCellAnchor>
  <xdr:twoCellAnchor editAs="absolute">
    <xdr:from>
      <xdr:col>5</xdr:col>
      <xdr:colOff>0</xdr:colOff>
      <xdr:row>26</xdr:row>
      <xdr:rowOff>169330</xdr:rowOff>
    </xdr:from>
    <xdr:to>
      <xdr:col>5</xdr:col>
      <xdr:colOff>306000</xdr:colOff>
      <xdr:row>27</xdr:row>
      <xdr:rowOff>191177</xdr:rowOff>
    </xdr:to>
    <xdr:sp macro="[0]!'a_changeOneLoppNumber 1'" textlink="">
      <xdr:nvSpPr>
        <xdr:cNvPr id="16301" name="Rectangle 8">
          <a:extLst>
            <a:ext uri="{FF2B5EF4-FFF2-40B4-BE49-F238E27FC236}">
              <a16:creationId xmlns:a16="http://schemas.microsoft.com/office/drawing/2014/main" id="{00000000-0008-0000-0000-0000AD3F0000}"/>
            </a:ext>
          </a:extLst>
        </xdr:cNvPr>
        <xdr:cNvSpPr/>
      </xdr:nvSpPr>
      <xdr:spPr>
        <a:xfrm>
          <a:off x="168088" y="4999065"/>
          <a:ext cx="306000" cy="234759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</a:t>
          </a:r>
        </a:p>
      </xdr:txBody>
    </xdr:sp>
    <xdr:clientData/>
  </xdr:twoCellAnchor>
  <xdr:twoCellAnchor editAs="absolute">
    <xdr:from>
      <xdr:col>5</xdr:col>
      <xdr:colOff>343776</xdr:colOff>
      <xdr:row>26</xdr:row>
      <xdr:rowOff>169330</xdr:rowOff>
    </xdr:from>
    <xdr:to>
      <xdr:col>5</xdr:col>
      <xdr:colOff>649776</xdr:colOff>
      <xdr:row>27</xdr:row>
      <xdr:rowOff>191177</xdr:rowOff>
    </xdr:to>
    <xdr:sp macro="[0]!'a_changeOneLoppNumber 5'" textlink="">
      <xdr:nvSpPr>
        <xdr:cNvPr id="16302" name="Rectangle 8">
          <a:extLst>
            <a:ext uri="{FF2B5EF4-FFF2-40B4-BE49-F238E27FC236}">
              <a16:creationId xmlns:a16="http://schemas.microsoft.com/office/drawing/2014/main" id="{00000000-0008-0000-0000-0000AE3F0000}"/>
            </a:ext>
          </a:extLst>
        </xdr:cNvPr>
        <xdr:cNvSpPr/>
      </xdr:nvSpPr>
      <xdr:spPr>
        <a:xfrm>
          <a:off x="511864" y="4999065"/>
          <a:ext cx="306000" cy="234759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</a:t>
          </a:r>
        </a:p>
      </xdr:txBody>
    </xdr:sp>
    <xdr:clientData/>
  </xdr:twoCellAnchor>
  <xdr:twoCellAnchor editAs="absolute">
    <xdr:from>
      <xdr:col>5</xdr:col>
      <xdr:colOff>687552</xdr:colOff>
      <xdr:row>26</xdr:row>
      <xdr:rowOff>169330</xdr:rowOff>
    </xdr:from>
    <xdr:to>
      <xdr:col>5</xdr:col>
      <xdr:colOff>988808</xdr:colOff>
      <xdr:row>27</xdr:row>
      <xdr:rowOff>191177</xdr:rowOff>
    </xdr:to>
    <xdr:sp macro="[0]!'a_changeOneLoppNumber 20'" textlink="">
      <xdr:nvSpPr>
        <xdr:cNvPr id="16303" name="Rectangle 8">
          <a:extLst>
            <a:ext uri="{FF2B5EF4-FFF2-40B4-BE49-F238E27FC236}">
              <a16:creationId xmlns:a16="http://schemas.microsoft.com/office/drawing/2014/main" id="{00000000-0008-0000-0000-0000AF3F0000}"/>
            </a:ext>
          </a:extLst>
        </xdr:cNvPr>
        <xdr:cNvSpPr/>
      </xdr:nvSpPr>
      <xdr:spPr>
        <a:xfrm>
          <a:off x="855640" y="4999065"/>
          <a:ext cx="301256" cy="234759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20</a:t>
          </a:r>
        </a:p>
      </xdr:txBody>
    </xdr:sp>
    <xdr:clientData/>
  </xdr:twoCellAnchor>
  <xdr:twoCellAnchor editAs="absolute">
    <xdr:from>
      <xdr:col>5</xdr:col>
      <xdr:colOff>1026583</xdr:colOff>
      <xdr:row>26</xdr:row>
      <xdr:rowOff>169330</xdr:rowOff>
    </xdr:from>
    <xdr:to>
      <xdr:col>6</xdr:col>
      <xdr:colOff>223930</xdr:colOff>
      <xdr:row>27</xdr:row>
      <xdr:rowOff>191177</xdr:rowOff>
    </xdr:to>
    <xdr:sp macro="[0]!'a_changeOneLoppNumber 50'" textlink="">
      <xdr:nvSpPr>
        <xdr:cNvPr id="16304" name="Rectangle 8">
          <a:extLst>
            <a:ext uri="{FF2B5EF4-FFF2-40B4-BE49-F238E27FC236}">
              <a16:creationId xmlns:a16="http://schemas.microsoft.com/office/drawing/2014/main" id="{00000000-0008-0000-0000-0000B03F0000}"/>
            </a:ext>
          </a:extLst>
        </xdr:cNvPr>
        <xdr:cNvSpPr/>
      </xdr:nvSpPr>
      <xdr:spPr>
        <a:xfrm>
          <a:off x="1194671" y="4999065"/>
          <a:ext cx="306730" cy="234759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50</a:t>
          </a:r>
        </a:p>
      </xdr:txBody>
    </xdr:sp>
    <xdr:clientData/>
  </xdr:twoCellAnchor>
  <xdr:twoCellAnchor editAs="absolute">
    <xdr:from>
      <xdr:col>5</xdr:col>
      <xdr:colOff>0</xdr:colOff>
      <xdr:row>28</xdr:row>
      <xdr:rowOff>21853</xdr:rowOff>
    </xdr:from>
    <xdr:to>
      <xdr:col>5</xdr:col>
      <xdr:colOff>306000</xdr:colOff>
      <xdr:row>29</xdr:row>
      <xdr:rowOff>37601</xdr:rowOff>
    </xdr:to>
    <xdr:sp macro="[0]!'a_changeOneLoppNumber 300'" textlink="">
      <xdr:nvSpPr>
        <xdr:cNvPr id="16305" name="Rectangle 8">
          <a:extLst>
            <a:ext uri="{FF2B5EF4-FFF2-40B4-BE49-F238E27FC236}">
              <a16:creationId xmlns:a16="http://schemas.microsoft.com/office/drawing/2014/main" id="{00000000-0008-0000-0000-0000B13F0000}"/>
            </a:ext>
          </a:extLst>
        </xdr:cNvPr>
        <xdr:cNvSpPr/>
      </xdr:nvSpPr>
      <xdr:spPr>
        <a:xfrm>
          <a:off x="168088" y="5277412"/>
          <a:ext cx="306000" cy="22866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300</a:t>
          </a:r>
        </a:p>
      </xdr:txBody>
    </xdr:sp>
    <xdr:clientData/>
  </xdr:twoCellAnchor>
  <xdr:twoCellAnchor editAs="absolute">
    <xdr:from>
      <xdr:col>5</xdr:col>
      <xdr:colOff>343776</xdr:colOff>
      <xdr:row>28</xdr:row>
      <xdr:rowOff>21853</xdr:rowOff>
    </xdr:from>
    <xdr:to>
      <xdr:col>5</xdr:col>
      <xdr:colOff>649776</xdr:colOff>
      <xdr:row>29</xdr:row>
      <xdr:rowOff>37601</xdr:rowOff>
    </xdr:to>
    <xdr:sp macro="[0]!'a_changeOneLoppNumber 1000'" textlink="">
      <xdr:nvSpPr>
        <xdr:cNvPr id="16306" name="Rectangle 8">
          <a:extLst>
            <a:ext uri="{FF2B5EF4-FFF2-40B4-BE49-F238E27FC236}">
              <a16:creationId xmlns:a16="http://schemas.microsoft.com/office/drawing/2014/main" id="{00000000-0008-0000-0000-0000B23F0000}"/>
            </a:ext>
          </a:extLst>
        </xdr:cNvPr>
        <xdr:cNvSpPr/>
      </xdr:nvSpPr>
      <xdr:spPr>
        <a:xfrm>
          <a:off x="511864" y="5277412"/>
          <a:ext cx="306000" cy="22866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1000</a:t>
          </a:r>
        </a:p>
      </xdr:txBody>
    </xdr:sp>
    <xdr:clientData/>
  </xdr:twoCellAnchor>
  <xdr:twoCellAnchor editAs="absolute">
    <xdr:from>
      <xdr:col>5</xdr:col>
      <xdr:colOff>685800</xdr:colOff>
      <xdr:row>28</xdr:row>
      <xdr:rowOff>19050</xdr:rowOff>
    </xdr:from>
    <xdr:to>
      <xdr:col>5</xdr:col>
      <xdr:colOff>991800</xdr:colOff>
      <xdr:row>29</xdr:row>
      <xdr:rowOff>34798</xdr:rowOff>
    </xdr:to>
    <xdr:sp macro="[0]!'a_changeOneLoppNumber 3000'" textlink="">
      <xdr:nvSpPr>
        <xdr:cNvPr id="18" name="Rectangle 8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857250" y="5200650"/>
          <a:ext cx="306000" cy="225298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3000</a:t>
          </a:r>
        </a:p>
      </xdr:txBody>
    </xdr:sp>
    <xdr:clientData/>
  </xdr:twoCellAnchor>
  <xdr:twoCellAnchor>
    <xdr:from>
      <xdr:col>5</xdr:col>
      <xdr:colOff>680358</xdr:colOff>
      <xdr:row>8</xdr:row>
      <xdr:rowOff>54429</xdr:rowOff>
    </xdr:from>
    <xdr:to>
      <xdr:col>8</xdr:col>
      <xdr:colOff>289833</xdr:colOff>
      <xdr:row>8</xdr:row>
      <xdr:rowOff>250373</xdr:rowOff>
    </xdr:to>
    <xdr:sp macro="" textlink="">
      <xdr:nvSpPr>
        <xdr:cNvPr id="2" name="矩形: 剪去对角 1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54529" y="1191986"/>
          <a:ext cx="1351190" cy="195944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PS2: </a:t>
          </a:r>
          <a:r>
            <a:rPr lang="zh-CN" altLang="en-US" sz="700"/>
            <a:t>最大允许运行次数</a:t>
          </a:r>
        </a:p>
      </xdr:txBody>
    </xdr:sp>
    <xdr:clientData/>
  </xdr:twoCellAnchor>
  <xdr:twoCellAnchor>
    <xdr:from>
      <xdr:col>5</xdr:col>
      <xdr:colOff>685800</xdr:colOff>
      <xdr:row>9</xdr:row>
      <xdr:rowOff>20411</xdr:rowOff>
    </xdr:from>
    <xdr:to>
      <xdr:col>8</xdr:col>
      <xdr:colOff>295275</xdr:colOff>
      <xdr:row>9</xdr:row>
      <xdr:rowOff>195943</xdr:rowOff>
    </xdr:to>
    <xdr:sp macro="" textlink="">
      <xdr:nvSpPr>
        <xdr:cNvPr id="20" name="矩形: 剪去对角 19" hidden="1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859971" y="1435554"/>
          <a:ext cx="1351190" cy="175532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 </a:t>
          </a:r>
          <a:r>
            <a:rPr lang="zh-CN" altLang="en-US" sz="700">
              <a:solidFill>
                <a:schemeClr val="lt1"/>
              </a:solidFill>
              <a:latin typeface="+mn-lt"/>
              <a:ea typeface="+mn-ea"/>
              <a:cs typeface="+mn-cs"/>
            </a:rPr>
            <a:t>总运行次数</a:t>
          </a:r>
        </a:p>
      </xdr:txBody>
    </xdr:sp>
    <xdr:clientData/>
  </xdr:twoCellAnchor>
  <xdr:twoCellAnchor>
    <xdr:from>
      <xdr:col>5</xdr:col>
      <xdr:colOff>695325</xdr:colOff>
      <xdr:row>10</xdr:row>
      <xdr:rowOff>28576</xdr:rowOff>
    </xdr:from>
    <xdr:to>
      <xdr:col>8</xdr:col>
      <xdr:colOff>304800</xdr:colOff>
      <xdr:row>10</xdr:row>
      <xdr:rowOff>185058</xdr:rowOff>
    </xdr:to>
    <xdr:sp macro="" textlink="">
      <xdr:nvSpPr>
        <xdr:cNvPr id="21" name="矩形: 剪去对角 20" hidden="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869496" y="1655990"/>
          <a:ext cx="1351190" cy="156482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PS2: </a:t>
          </a:r>
          <a:r>
            <a:rPr lang="zh-CN" altLang="en-US" sz="700"/>
            <a:t>单次允许运行次数</a:t>
          </a:r>
        </a:p>
      </xdr:txBody>
    </xdr:sp>
    <xdr:clientData/>
  </xdr:twoCellAnchor>
  <xdr:twoCellAnchor>
    <xdr:from>
      <xdr:col>5</xdr:col>
      <xdr:colOff>702128</xdr:colOff>
      <xdr:row>11</xdr:row>
      <xdr:rowOff>10885</xdr:rowOff>
    </xdr:from>
    <xdr:to>
      <xdr:col>8</xdr:col>
      <xdr:colOff>311603</xdr:colOff>
      <xdr:row>11</xdr:row>
      <xdr:rowOff>186417</xdr:rowOff>
    </xdr:to>
    <xdr:sp macro="" textlink="">
      <xdr:nvSpPr>
        <xdr:cNvPr id="22" name="矩形: 剪去对角 21" hidden="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876299" y="1850571"/>
          <a:ext cx="1351190" cy="175532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PS2: </a:t>
          </a:r>
          <a:r>
            <a:rPr lang="zh-CN" altLang="en-US" sz="700"/>
            <a:t>单次运行次数</a:t>
          </a:r>
        </a:p>
      </xdr:txBody>
    </xdr:sp>
    <xdr:clientData/>
  </xdr:twoCellAnchor>
  <xdr:twoCellAnchor>
    <xdr:from>
      <xdr:col>5</xdr:col>
      <xdr:colOff>795130</xdr:colOff>
      <xdr:row>12</xdr:row>
      <xdr:rowOff>16564</xdr:rowOff>
    </xdr:from>
    <xdr:to>
      <xdr:col>6</xdr:col>
      <xdr:colOff>132522</xdr:colOff>
      <xdr:row>14</xdr:row>
      <xdr:rowOff>16565</xdr:rowOff>
    </xdr:to>
    <xdr:sp macro="" textlink="">
      <xdr:nvSpPr>
        <xdr:cNvPr id="24" name="矩形: 剪去对角 23" hidden="1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69065" y="2037521"/>
          <a:ext cx="455544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PS2:IF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33130</xdr:colOff>
      <xdr:row>6</xdr:row>
      <xdr:rowOff>74544</xdr:rowOff>
    </xdr:from>
    <xdr:to>
      <xdr:col>8</xdr:col>
      <xdr:colOff>223630</xdr:colOff>
      <xdr:row>8</xdr:row>
      <xdr:rowOff>8284</xdr:rowOff>
    </xdr:to>
    <xdr:sp macro="" textlink="">
      <xdr:nvSpPr>
        <xdr:cNvPr id="25" name="矩形: 剪去对角 24" hidden="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623391" y="927653"/>
          <a:ext cx="588065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PS2:M00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91108</xdr:colOff>
      <xdr:row>12</xdr:row>
      <xdr:rowOff>24848</xdr:rowOff>
    </xdr:from>
    <xdr:to>
      <xdr:col>8</xdr:col>
      <xdr:colOff>281608</xdr:colOff>
      <xdr:row>14</xdr:row>
      <xdr:rowOff>24849</xdr:rowOff>
    </xdr:to>
    <xdr:sp macro="" textlink="">
      <xdr:nvSpPr>
        <xdr:cNvPr id="26" name="矩形: 剪去对角 25" hidden="1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681369" y="2045805"/>
          <a:ext cx="588065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PS2:M01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99391</xdr:colOff>
      <xdr:row>16</xdr:row>
      <xdr:rowOff>198783</xdr:rowOff>
    </xdr:from>
    <xdr:to>
      <xdr:col>8</xdr:col>
      <xdr:colOff>289891</xdr:colOff>
      <xdr:row>17</xdr:row>
      <xdr:rowOff>198784</xdr:rowOff>
    </xdr:to>
    <xdr:sp macro="" textlink="">
      <xdr:nvSpPr>
        <xdr:cNvPr id="27" name="矩形: 剪去对角 26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689652" y="2840935"/>
          <a:ext cx="588065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PS2:M02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321880</xdr:colOff>
      <xdr:row>3</xdr:row>
      <xdr:rowOff>6569</xdr:rowOff>
    </xdr:from>
    <xdr:to>
      <xdr:col>0</xdr:col>
      <xdr:colOff>997032</xdr:colOff>
      <xdr:row>5</xdr:row>
      <xdr:rowOff>57188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16200000">
          <a:off x="463353" y="377475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447675</xdr:colOff>
      <xdr:row>1</xdr:row>
      <xdr:rowOff>9525</xdr:rowOff>
    </xdr:from>
    <xdr:to>
      <xdr:col>6</xdr:col>
      <xdr:colOff>437027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 rot="16200000">
          <a:off x="4018148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114300</xdr:rowOff>
    </xdr:from>
    <xdr:to>
      <xdr:col>1</xdr:col>
      <xdr:colOff>65552</xdr:colOff>
      <xdr:row>0</xdr:row>
      <xdr:rowOff>506506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 rot="16200000">
          <a:off x="217673" y="-271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95250</xdr:colOff>
      <xdr:row>0</xdr:row>
      <xdr:rowOff>114300</xdr:rowOff>
    </xdr:from>
    <xdr:to>
      <xdr:col>2</xdr:col>
      <xdr:colOff>160802</xdr:colOff>
      <xdr:row>2</xdr:row>
      <xdr:rowOff>125506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 rot="16200000">
          <a:off x="236723" y="-271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114300</xdr:colOff>
      <xdr:row>1</xdr:row>
      <xdr:rowOff>9525</xdr:rowOff>
    </xdr:from>
    <xdr:to>
      <xdr:col>2</xdr:col>
      <xdr:colOff>179852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 rot="16200000">
          <a:off x="255773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74544</xdr:colOff>
      <xdr:row>8</xdr:row>
      <xdr:rowOff>115956</xdr:rowOff>
    </xdr:from>
    <xdr:to>
      <xdr:col>2</xdr:col>
      <xdr:colOff>190500</xdr:colOff>
      <xdr:row>10</xdr:row>
      <xdr:rowOff>57978</xdr:rowOff>
    </xdr:to>
    <xdr:sp macro="[0]!'a_ShowPage &quot;core_screen&quot;'" textlink="">
      <xdr:nvSpPr>
        <xdr:cNvPr id="7" name="Rectangle 8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455544" y="1507434"/>
          <a:ext cx="803413" cy="30645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screen</a:t>
          </a:r>
        </a:p>
      </xdr:txBody>
    </xdr:sp>
    <xdr:clientData/>
  </xdr:twoCellAnchor>
  <xdr:twoCellAnchor editAs="absolute">
    <xdr:from>
      <xdr:col>1</xdr:col>
      <xdr:colOff>91109</xdr:colOff>
      <xdr:row>10</xdr:row>
      <xdr:rowOff>157370</xdr:rowOff>
    </xdr:from>
    <xdr:to>
      <xdr:col>2</xdr:col>
      <xdr:colOff>207065</xdr:colOff>
      <xdr:row>12</xdr:row>
      <xdr:rowOff>99393</xdr:rowOff>
    </xdr:to>
    <xdr:sp macro="[0]!'a_ShowPage &quot;core_setup&quot;'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472109" y="1896718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setup</a:t>
          </a:r>
        </a:p>
      </xdr:txBody>
    </xdr:sp>
    <xdr:clientData/>
  </xdr:twoCellAnchor>
  <xdr:twoCellAnchor editAs="absolute">
    <xdr:from>
      <xdr:col>1</xdr:col>
      <xdr:colOff>82827</xdr:colOff>
      <xdr:row>13</xdr:row>
      <xdr:rowOff>16565</xdr:rowOff>
    </xdr:from>
    <xdr:to>
      <xdr:col>2</xdr:col>
      <xdr:colOff>198783</xdr:colOff>
      <xdr:row>14</xdr:row>
      <xdr:rowOff>132522</xdr:rowOff>
    </xdr:to>
    <xdr:sp macro="[0]!'a_ShowPage &quot;core_if&quot;'" textlink="">
      <xdr:nvSpPr>
        <xdr:cNvPr id="5" name="Rectangle 8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463827" y="2277717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if</a:t>
          </a:r>
        </a:p>
      </xdr:txBody>
    </xdr:sp>
    <xdr:clientData/>
  </xdr:twoCellAnchor>
  <xdr:twoCellAnchor editAs="absolute">
    <xdr:from>
      <xdr:col>1</xdr:col>
      <xdr:colOff>82826</xdr:colOff>
      <xdr:row>17</xdr:row>
      <xdr:rowOff>49691</xdr:rowOff>
    </xdr:from>
    <xdr:to>
      <xdr:col>2</xdr:col>
      <xdr:colOff>198782</xdr:colOff>
      <xdr:row>18</xdr:row>
      <xdr:rowOff>165648</xdr:rowOff>
    </xdr:to>
    <xdr:sp macro="[0]!'a_ShowPage &quot;core_count&quot;'" textlink="">
      <xdr:nvSpPr>
        <xdr:cNvPr id="8" name="Rectangle 8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63826" y="3006582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count</a:t>
          </a:r>
        </a:p>
      </xdr:txBody>
    </xdr:sp>
    <xdr:clientData/>
  </xdr:twoCellAnchor>
  <xdr:twoCellAnchor editAs="absolute">
    <xdr:from>
      <xdr:col>1</xdr:col>
      <xdr:colOff>66261</xdr:colOff>
      <xdr:row>21</xdr:row>
      <xdr:rowOff>124235</xdr:rowOff>
    </xdr:from>
    <xdr:to>
      <xdr:col>2</xdr:col>
      <xdr:colOff>182217</xdr:colOff>
      <xdr:row>23</xdr:row>
      <xdr:rowOff>66257</xdr:rowOff>
    </xdr:to>
    <xdr:sp macro="[0]!'a_ShowPage &quot;core_log&quot;'" textlink="">
      <xdr:nvSpPr>
        <xdr:cNvPr id="10" name="Rectangle 8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447261" y="3776865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log</a:t>
          </a:r>
        </a:p>
      </xdr:txBody>
    </xdr:sp>
    <xdr:clientData/>
  </xdr:twoCellAnchor>
  <xdr:twoCellAnchor editAs="absolute">
    <xdr:from>
      <xdr:col>2</xdr:col>
      <xdr:colOff>654325</xdr:colOff>
      <xdr:row>8</xdr:row>
      <xdr:rowOff>99391</xdr:rowOff>
    </xdr:from>
    <xdr:to>
      <xdr:col>4</xdr:col>
      <xdr:colOff>397565</xdr:colOff>
      <xdr:row>10</xdr:row>
      <xdr:rowOff>41413</xdr:rowOff>
    </xdr:to>
    <xdr:sp macro="[0]!'a_ShowPage &quot;core_engine_setup&quot;'" textlink="">
      <xdr:nvSpPr>
        <xdr:cNvPr id="11" name="Rectangle 8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1722782" y="1490869"/>
          <a:ext cx="111815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engine_setup</a:t>
          </a:r>
        </a:p>
      </xdr:txBody>
    </xdr:sp>
    <xdr:clientData/>
  </xdr:twoCellAnchor>
  <xdr:twoCellAnchor editAs="absolute">
    <xdr:from>
      <xdr:col>2</xdr:col>
      <xdr:colOff>662608</xdr:colOff>
      <xdr:row>10</xdr:row>
      <xdr:rowOff>140804</xdr:rowOff>
    </xdr:from>
    <xdr:to>
      <xdr:col>4</xdr:col>
      <xdr:colOff>389282</xdr:colOff>
      <xdr:row>12</xdr:row>
      <xdr:rowOff>82827</xdr:rowOff>
    </xdr:to>
    <xdr:sp macro="[0]!'a_ShowPage &quot;core_ACAK_setup&quot;'" textlink="">
      <xdr:nvSpPr>
        <xdr:cNvPr id="12" name="Rectangle 8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1731065" y="1880152"/>
          <a:ext cx="1101587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ACAK_setup</a:t>
          </a:r>
        </a:p>
      </xdr:txBody>
    </xdr:sp>
    <xdr:clientData/>
  </xdr:twoCellAnchor>
  <xdr:twoCellAnchor editAs="absolute">
    <xdr:from>
      <xdr:col>1</xdr:col>
      <xdr:colOff>66262</xdr:colOff>
      <xdr:row>19</xdr:row>
      <xdr:rowOff>66256</xdr:rowOff>
    </xdr:from>
    <xdr:to>
      <xdr:col>2</xdr:col>
      <xdr:colOff>182218</xdr:colOff>
      <xdr:row>21</xdr:row>
      <xdr:rowOff>8279</xdr:rowOff>
    </xdr:to>
    <xdr:sp macro="[0]!'a_ShowPage &quot;core_actions&quot;'" textlink="">
      <xdr:nvSpPr>
        <xdr:cNvPr id="13" name="Rectangle 8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447262" y="3371017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actions</a:t>
          </a:r>
        </a:p>
      </xdr:txBody>
    </xdr:sp>
    <xdr:clientData/>
  </xdr:twoCellAnchor>
  <xdr:twoCellAnchor editAs="absolute">
    <xdr:from>
      <xdr:col>2</xdr:col>
      <xdr:colOff>654325</xdr:colOff>
      <xdr:row>13</xdr:row>
      <xdr:rowOff>0</xdr:rowOff>
    </xdr:from>
    <xdr:to>
      <xdr:col>4</xdr:col>
      <xdr:colOff>422413</xdr:colOff>
      <xdr:row>14</xdr:row>
      <xdr:rowOff>115957</xdr:rowOff>
    </xdr:to>
    <xdr:sp macro="[0]!'a_ShowPage &quot;core_display_setup&quot;'" textlink="">
      <xdr:nvSpPr>
        <xdr:cNvPr id="14" name="Rectangle 8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1722782" y="2261152"/>
          <a:ext cx="1143001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8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  <a:cs typeface="+mn-cs"/>
            </a:rPr>
            <a:t>DISPALY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  <a:cs typeface="+mn-cs"/>
            </a:rPr>
            <a:t>_s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etup</a:t>
          </a:r>
        </a:p>
      </xdr:txBody>
    </xdr:sp>
    <xdr:clientData/>
  </xdr:twoCellAnchor>
  <xdr:twoCellAnchor editAs="absolute">
    <xdr:from>
      <xdr:col>5</xdr:col>
      <xdr:colOff>173934</xdr:colOff>
      <xdr:row>8</xdr:row>
      <xdr:rowOff>107674</xdr:rowOff>
    </xdr:from>
    <xdr:to>
      <xdr:col>6</xdr:col>
      <xdr:colOff>596347</xdr:colOff>
      <xdr:row>10</xdr:row>
      <xdr:rowOff>49696</xdr:rowOff>
    </xdr:to>
    <xdr:sp macro="[0]!'a_ShowPage &quot;core_changelog&quot;'" textlink="">
      <xdr:nvSpPr>
        <xdr:cNvPr id="15" name="Rectangle 8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3304760" y="1499152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changelog</a:t>
          </a:r>
        </a:p>
      </xdr:txBody>
    </xdr:sp>
    <xdr:clientData/>
  </xdr:twoCellAnchor>
  <xdr:twoCellAnchor editAs="absolute">
    <xdr:from>
      <xdr:col>5</xdr:col>
      <xdr:colOff>165652</xdr:colOff>
      <xdr:row>12</xdr:row>
      <xdr:rowOff>115958</xdr:rowOff>
    </xdr:from>
    <xdr:to>
      <xdr:col>6</xdr:col>
      <xdr:colOff>588065</xdr:colOff>
      <xdr:row>14</xdr:row>
      <xdr:rowOff>57980</xdr:rowOff>
    </xdr:to>
    <xdr:sp macro="[0]!'a_ShowPage &quot;core_about&quot;'" textlink="">
      <xdr:nvSpPr>
        <xdr:cNvPr id="16" name="Rectangle 8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3296478" y="2203175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about</a:t>
          </a:r>
        </a:p>
      </xdr:txBody>
    </xdr:sp>
    <xdr:clientData/>
  </xdr:twoCellAnchor>
  <xdr:twoCellAnchor editAs="absolute">
    <xdr:from>
      <xdr:col>5</xdr:col>
      <xdr:colOff>173935</xdr:colOff>
      <xdr:row>10</xdr:row>
      <xdr:rowOff>107674</xdr:rowOff>
    </xdr:from>
    <xdr:to>
      <xdr:col>6</xdr:col>
      <xdr:colOff>596348</xdr:colOff>
      <xdr:row>12</xdr:row>
      <xdr:rowOff>49697</xdr:rowOff>
    </xdr:to>
    <xdr:sp macro="[0]!'a_ShowPage &quot;core_debug&quot;'" textlink="">
      <xdr:nvSpPr>
        <xdr:cNvPr id="17" name="Rectangle 8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3304761" y="1847022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debug</a:t>
          </a:r>
        </a:p>
      </xdr:txBody>
    </xdr:sp>
    <xdr:clientData/>
  </xdr:twoCellAnchor>
  <xdr:twoCellAnchor editAs="absolute">
    <xdr:from>
      <xdr:col>2</xdr:col>
      <xdr:colOff>621196</xdr:colOff>
      <xdr:row>17</xdr:row>
      <xdr:rowOff>24848</xdr:rowOff>
    </xdr:from>
    <xdr:to>
      <xdr:col>4</xdr:col>
      <xdr:colOff>356153</xdr:colOff>
      <xdr:row>18</xdr:row>
      <xdr:rowOff>140805</xdr:rowOff>
    </xdr:to>
    <xdr:sp macro="[0]!'a_ShowPage &quot;core_plugin&quot;'" textlink="">
      <xdr:nvSpPr>
        <xdr:cNvPr id="18" name="Rectangle 8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1689653" y="2981739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plugin</a:t>
          </a:r>
        </a:p>
      </xdr:txBody>
    </xdr:sp>
    <xdr:clientData/>
  </xdr:twoCellAnchor>
  <xdr:twoCellAnchor editAs="absolute">
    <xdr:from>
      <xdr:col>2</xdr:col>
      <xdr:colOff>629478</xdr:colOff>
      <xdr:row>14</xdr:row>
      <xdr:rowOff>173934</xdr:rowOff>
    </xdr:from>
    <xdr:to>
      <xdr:col>4</xdr:col>
      <xdr:colOff>397566</xdr:colOff>
      <xdr:row>16</xdr:row>
      <xdr:rowOff>115956</xdr:rowOff>
    </xdr:to>
    <xdr:sp macro="[0]!'a_ShowPage &quot;core_homepage_setup&quot;'" textlink="">
      <xdr:nvSpPr>
        <xdr:cNvPr id="35" name="Rectangle 8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/>
      </xdr:nvSpPr>
      <xdr:spPr>
        <a:xfrm>
          <a:off x="1697935" y="2609021"/>
          <a:ext cx="1143001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8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homepage_setup</a:t>
          </a:r>
        </a:p>
      </xdr:txBody>
    </xdr:sp>
    <xdr:clientData/>
  </xdr:twoCellAnchor>
  <xdr:twoCellAnchor editAs="oneCell">
    <xdr:from>
      <xdr:col>2</xdr:col>
      <xdr:colOff>298173</xdr:colOff>
      <xdr:row>3</xdr:row>
      <xdr:rowOff>0</xdr:rowOff>
    </xdr:from>
    <xdr:to>
      <xdr:col>5</xdr:col>
      <xdr:colOff>190822</xdr:colOff>
      <xdr:row>7</xdr:row>
      <xdr:rowOff>28996</xdr:rowOff>
    </xdr:to>
    <xdr:pic>
      <xdr:nvPicPr>
        <xdr:cNvPr id="73" name="图片 72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366630" y="521804"/>
          <a:ext cx="1955018" cy="724735"/>
        </a:xfrm>
        <a:prstGeom prst="rect">
          <a:avLst/>
        </a:prstGeom>
      </xdr:spPr>
    </xdr:pic>
    <xdr:clientData/>
  </xdr:twoCellAnchor>
  <xdr:twoCellAnchor editAs="absolute">
    <xdr:from>
      <xdr:col>1</xdr:col>
      <xdr:colOff>57978</xdr:colOff>
      <xdr:row>15</xdr:row>
      <xdr:rowOff>24848</xdr:rowOff>
    </xdr:from>
    <xdr:to>
      <xdr:col>2</xdr:col>
      <xdr:colOff>173934</xdr:colOff>
      <xdr:row>16</xdr:row>
      <xdr:rowOff>140805</xdr:rowOff>
    </xdr:to>
    <xdr:sp macro="[0]!'a_ShowPage &quot;core_ifcamp&quot;'" textlink="">
      <xdr:nvSpPr>
        <xdr:cNvPr id="20" name="Rectangle 8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438978" y="2633870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ifcamp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19050</xdr:colOff>
      <xdr:row>0</xdr:row>
      <xdr:rowOff>76200</xdr:rowOff>
    </xdr:from>
    <xdr:to>
      <xdr:col>5</xdr:col>
      <xdr:colOff>8402</xdr:colOff>
      <xdr:row>2</xdr:row>
      <xdr:rowOff>125506</xdr:rowOff>
    </xdr:to>
    <xdr:sp macro="[0]!'a_ShowPage &quot;core_homepage&quot;'" textlink="">
      <xdr:nvSpPr>
        <xdr:cNvPr id="2" name="右箭头 2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 rot="16200000">
          <a:off x="6332723" y="-652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xdr:twoCellAnchor>
    <xdr:from>
      <xdr:col>5</xdr:col>
      <xdr:colOff>390525</xdr:colOff>
      <xdr:row>0</xdr:row>
      <xdr:rowOff>133350</xdr:rowOff>
    </xdr:from>
    <xdr:to>
      <xdr:col>6</xdr:col>
      <xdr:colOff>257664</xdr:colOff>
      <xdr:row>4</xdr:row>
      <xdr:rowOff>34614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7248525" y="133350"/>
          <a:ext cx="552939" cy="58706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IFs" textlink="">
        <xdr:nvSpPr>
          <xdr:cNvPr id="4" name="矩形: 圆角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IFs" textlink="">
        <xdr:nvSpPr>
          <xdr:cNvPr id="5" name="箭头: 下弧形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IFs" textlink="">
        <xdr:nvSpPr>
          <xdr:cNvPr id="6" name="箭头: 下弧形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161925</xdr:colOff>
      <xdr:row>0</xdr:row>
      <xdr:rowOff>161925</xdr:rowOff>
    </xdr:from>
    <xdr:to>
      <xdr:col>8</xdr:col>
      <xdr:colOff>151277</xdr:colOff>
      <xdr:row>3</xdr:row>
      <xdr:rowOff>39781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 rot="16200000">
          <a:off x="5427848" y="2045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3</xdr:row>
      <xdr:rowOff>179819</xdr:rowOff>
    </xdr:from>
    <xdr:to>
      <xdr:col>1</xdr:col>
      <xdr:colOff>600075</xdr:colOff>
      <xdr:row>3</xdr:row>
      <xdr:rowOff>742950</xdr:rowOff>
    </xdr:to>
    <xdr:grpSp>
      <xdr:nvGrpSpPr>
        <xdr:cNvPr id="7" name="组合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pSpPr/>
      </xdr:nvGrpSpPr>
      <xdr:grpSpPr>
        <a:xfrm>
          <a:off x="1339476" y="179819"/>
          <a:ext cx="549275" cy="563131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Plugin" textlink="">
        <xdr:nvSpPr>
          <xdr:cNvPr id="8" name="矩形: 圆角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Plugin" textlink="">
        <xdr:nvSpPr>
          <xdr:cNvPr id="9" name="箭头: 下弧形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Plugin" textlink="">
        <xdr:nvSpPr>
          <xdr:cNvPr id="10" name="箭头: 下弧形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2</xdr:col>
      <xdr:colOff>209550</xdr:colOff>
      <xdr:row>3</xdr:row>
      <xdr:rowOff>190378</xdr:rowOff>
    </xdr:from>
    <xdr:to>
      <xdr:col>2</xdr:col>
      <xdr:colOff>1152750</xdr:colOff>
      <xdr:row>3</xdr:row>
      <xdr:rowOff>766378</xdr:rowOff>
    </xdr:to>
    <xdr:sp macro="[0]!cs_LoadPlugin" textlink="">
      <xdr:nvSpPr>
        <xdr:cNvPr id="11" name="矩形: 圆角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>
          <a:off x="2181225" y="190378"/>
          <a:ext cx="943200" cy="576000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altLang="zh-CN" sz="1600"/>
            <a:t>Load Plugin</a:t>
          </a:r>
          <a:endParaRPr lang="zh-CN" altLang="en-US" sz="1600"/>
        </a:p>
      </xdr:txBody>
    </xdr:sp>
    <xdr:clientData/>
  </xdr:twoCellAnchor>
  <xdr:twoCellAnchor>
    <xdr:from>
      <xdr:col>7</xdr:col>
      <xdr:colOff>152400</xdr:colOff>
      <xdr:row>3</xdr:row>
      <xdr:rowOff>136939</xdr:rowOff>
    </xdr:from>
    <xdr:to>
      <xdr:col>7</xdr:col>
      <xdr:colOff>1095375</xdr:colOff>
      <xdr:row>3</xdr:row>
      <xdr:rowOff>714375</xdr:rowOff>
    </xdr:to>
    <xdr:sp macro="[0]!cs_unLoadPlugin" textlink="">
      <xdr:nvSpPr>
        <xdr:cNvPr id="12" name="矩形: 圆角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8239125" y="136939"/>
          <a:ext cx="942975" cy="577436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altLang="zh-CN" sz="1600"/>
            <a:t>Unload Plugin</a:t>
          </a:r>
          <a:endParaRPr lang="zh-CN" altLang="en-US" sz="1600"/>
        </a:p>
      </xdr:txBody>
    </xdr:sp>
    <xdr:clientData/>
  </xdr:twoCellAnchor>
  <xdr:twoCellAnchor editAs="absolute">
    <xdr:from>
      <xdr:col>0</xdr:col>
      <xdr:colOff>0</xdr:colOff>
      <xdr:row>3</xdr:row>
      <xdr:rowOff>171450</xdr:rowOff>
    </xdr:from>
    <xdr:to>
      <xdr:col>0</xdr:col>
      <xdr:colOff>675152</xdr:colOff>
      <xdr:row>3</xdr:row>
      <xdr:rowOff>563656</xdr:rowOff>
    </xdr:to>
    <xdr:sp macro="[0]!'a_ShowPage &quot;core_homepage&quot;'" textlink="">
      <xdr:nvSpPr>
        <xdr:cNvPr id="14" name="右箭头 21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 rot="16200000">
          <a:off x="141473" y="29977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133350</xdr:rowOff>
    </xdr:from>
    <xdr:to>
      <xdr:col>1</xdr:col>
      <xdr:colOff>46502</xdr:colOff>
      <xdr:row>1</xdr:row>
      <xdr:rowOff>1681</xdr:rowOff>
    </xdr:to>
    <xdr:sp macro="[0]!'a_ShowPage &quot;core_homepage&quot;'" textlink="">
      <xdr:nvSpPr>
        <xdr:cNvPr id="4" name="右箭头 2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 rot="16200000">
          <a:off x="198623" y="-812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514350</xdr:rowOff>
        </xdr:from>
        <xdr:to>
          <xdr:col>4</xdr:col>
          <xdr:colOff>9525</xdr:colOff>
          <xdr:row>2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5</xdr:col>
      <xdr:colOff>552939</xdr:colOff>
      <xdr:row>1</xdr:row>
      <xdr:rowOff>72714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pSpPr/>
      </xdr:nvGrpSpPr>
      <xdr:grpSpPr>
        <a:xfrm>
          <a:off x="6457950" y="0"/>
          <a:ext cx="552939" cy="58706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Actions" textlink="">
        <xdr:nvSpPr>
          <xdr:cNvPr id="4" name="矩形: 圆角 3">
            <a:extLst>
              <a:ext uri="{FF2B5EF4-FFF2-40B4-BE49-F238E27FC236}">
                <a16:creationId xmlns:a16="http://schemas.microsoft.com/office/drawing/2014/main" id="{00000000-0008-0000-0B00-000004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Actions" textlink="">
        <xdr:nvSpPr>
          <xdr:cNvPr id="5" name="箭头: 下弧形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Actions" textlink="">
        <xdr:nvSpPr>
          <xdr:cNvPr id="6" name="箭头: 下弧形 5">
            <a:extLst>
              <a:ext uri="{FF2B5EF4-FFF2-40B4-BE49-F238E27FC236}">
                <a16:creationId xmlns:a16="http://schemas.microsoft.com/office/drawing/2014/main" id="{00000000-0008-0000-0B00-000006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2</xdr:col>
      <xdr:colOff>1685925</xdr:colOff>
      <xdr:row>0</xdr:row>
      <xdr:rowOff>66675</xdr:rowOff>
    </xdr:from>
    <xdr:to>
      <xdr:col>3</xdr:col>
      <xdr:colOff>646577</xdr:colOff>
      <xdr:row>0</xdr:row>
      <xdr:rowOff>458881</xdr:rowOff>
    </xdr:to>
    <xdr:sp macro="[0]!'a_ShowPage &quot;core_homepage&quot;'" textlink="">
      <xdr:nvSpPr>
        <xdr:cNvPr id="7" name="右箭头 21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 rot="16200000">
          <a:off x="5199248" y="-7479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7</xdr:row>
      <xdr:rowOff>85725</xdr:rowOff>
    </xdr:from>
    <xdr:to>
      <xdr:col>4</xdr:col>
      <xdr:colOff>675152</xdr:colOff>
      <xdr:row>9</xdr:row>
      <xdr:rowOff>96931</xdr:rowOff>
    </xdr:to>
    <xdr:sp macro="[0]!'a_ShowPage &quot;core_homepage&quot;'" textlink="">
      <xdr:nvSpPr>
        <xdr:cNvPr id="8" name="右箭头 21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>
        <a:xfrm rot="16200000">
          <a:off x="141473" y="-557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9525</xdr:rowOff>
    </xdr:from>
    <xdr:to>
      <xdr:col>1</xdr:col>
      <xdr:colOff>237002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 rot="16200000">
          <a:off x="141473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85725</xdr:rowOff>
    </xdr:from>
    <xdr:to>
      <xdr:col>0</xdr:col>
      <xdr:colOff>675152</xdr:colOff>
      <xdr:row>2</xdr:row>
      <xdr:rowOff>135031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 rot="16200000">
          <a:off x="141473" y="-557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95249</xdr:colOff>
      <xdr:row>5</xdr:row>
      <xdr:rowOff>152400</xdr:rowOff>
    </xdr:from>
    <xdr:to>
      <xdr:col>12</xdr:col>
      <xdr:colOff>438150</xdr:colOff>
      <xdr:row>14</xdr:row>
      <xdr:rowOff>173172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200524" y="1400175"/>
          <a:ext cx="5143501" cy="1906722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675152</xdr:colOff>
      <xdr:row>1</xdr:row>
      <xdr:rowOff>182656</xdr:rowOff>
    </xdr:to>
    <xdr:sp macro="[0]!'a_ShowPage &quot;core_homepage&quot;'" textlink="">
      <xdr:nvSpPr>
        <xdr:cNvPr id="4" name="右箭头 21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 rot="16200000">
          <a:off x="141473" y="-1414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>
          <a:noFill/>
        </a:ln>
      </a:spPr>
      <a:bodyPr vertOverflow="clip" rtlCol="0" anchor="ctr"/>
      <a:lstStyle>
        <a:defPPr algn="ctr">
          <a:defRPr sz="700"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8"/>
  <sheetViews>
    <sheetView tabSelected="1" topLeftCell="E4" zoomScaleNormal="100" workbookViewId="0">
      <selection activeCell="N15" sqref="N15"/>
    </sheetView>
  </sheetViews>
  <sheetFormatPr defaultColWidth="9" defaultRowHeight="16.5" x14ac:dyDescent="0.15"/>
  <cols>
    <col min="1" max="4" width="0" style="12" hidden="1" customWidth="1"/>
    <col min="5" max="5" width="2.25" style="12" customWidth="1"/>
    <col min="6" max="6" width="14.625" style="12" customWidth="1"/>
    <col min="7" max="7" width="3.875" style="12" customWidth="1"/>
    <col min="8" max="8" width="5.25" style="12" customWidth="1"/>
    <col min="9" max="10" width="11.625" style="12" customWidth="1"/>
    <col min="11" max="16384" width="9" style="12"/>
  </cols>
  <sheetData>
    <row r="1" spans="1:14" hidden="1" x14ac:dyDescent="0.15"/>
    <row r="2" spans="1:14" hidden="1" x14ac:dyDescent="0.15"/>
    <row r="3" spans="1:14" hidden="1" x14ac:dyDescent="0.15"/>
    <row r="4" spans="1:14" s="15" customFormat="1" ht="35.25" customHeight="1" x14ac:dyDescent="0.15">
      <c r="B4" s="12"/>
    </row>
    <row r="5" spans="1:14" ht="10.5" customHeight="1" x14ac:dyDescent="0.15"/>
    <row r="6" spans="1:14" ht="21.75" customHeight="1" x14ac:dyDescent="0.15">
      <c r="I6" s="40" t="s">
        <v>178</v>
      </c>
      <c r="J6" s="40"/>
      <c r="K6" s="40"/>
      <c r="L6" s="40"/>
    </row>
    <row r="7" spans="1:14" ht="21.75" customHeight="1" x14ac:dyDescent="0.15">
      <c r="A7" s="12" t="s">
        <v>55</v>
      </c>
      <c r="I7" s="23"/>
      <c r="J7" s="23"/>
      <c r="K7" s="23" t="s">
        <v>55</v>
      </c>
      <c r="L7" s="23"/>
      <c r="M7" s="23"/>
      <c r="N7" s="23"/>
    </row>
    <row r="8" spans="1:14" ht="21.75" hidden="1" customHeight="1" thickBot="1" x14ac:dyDescent="0.2"/>
    <row r="9" spans="1:14" ht="21.75" customHeight="1" x14ac:dyDescent="0.15">
      <c r="I9" s="13">
        <v>10</v>
      </c>
      <c r="J9" s="13">
        <v>10</v>
      </c>
      <c r="K9" s="13">
        <v>10</v>
      </c>
      <c r="L9" s="13">
        <v>10</v>
      </c>
    </row>
    <row r="10" spans="1:14" x14ac:dyDescent="0.15">
      <c r="F10" s="13">
        <f>core_count!B1</f>
        <v>1845</v>
      </c>
      <c r="I10" s="13">
        <v>461</v>
      </c>
      <c r="J10" s="13">
        <v>461</v>
      </c>
      <c r="K10" s="13">
        <v>462</v>
      </c>
      <c r="L10" s="13">
        <v>461</v>
      </c>
    </row>
    <row r="11" spans="1:14" x14ac:dyDescent="0.15">
      <c r="F11" s="13">
        <f>VLOOKUP("Engine Loop",core_setup!F:G,2,0)</f>
        <v>50</v>
      </c>
      <c r="I11" s="13">
        <v>5</v>
      </c>
      <c r="J11" s="13">
        <v>5</v>
      </c>
      <c r="K11" s="13">
        <v>5</v>
      </c>
      <c r="L11" s="13">
        <v>5</v>
      </c>
    </row>
    <row r="12" spans="1:14" x14ac:dyDescent="0.15">
      <c r="F12" s="13">
        <f>core_count!B2</f>
        <v>50</v>
      </c>
      <c r="I12" s="13">
        <v>0</v>
      </c>
      <c r="J12" s="13">
        <v>0</v>
      </c>
      <c r="K12" s="13">
        <v>1</v>
      </c>
      <c r="L12" s="13">
        <v>0</v>
      </c>
    </row>
    <row r="14" spans="1:14" hidden="1" x14ac:dyDescent="0.15"/>
    <row r="15" spans="1:14" x14ac:dyDescent="0.35">
      <c r="F15" s="13" t="s">
        <v>153</v>
      </c>
      <c r="G15" s="38">
        <v>1</v>
      </c>
      <c r="I15" s="13">
        <v>1</v>
      </c>
      <c r="J15" s="13">
        <v>0</v>
      </c>
      <c r="K15" s="13">
        <v>8</v>
      </c>
      <c r="L15" s="13">
        <v>8</v>
      </c>
    </row>
    <row r="16" spans="1:14" x14ac:dyDescent="0.35">
      <c r="F16" s="13" t="s">
        <v>184</v>
      </c>
      <c r="G16" s="41">
        <v>0</v>
      </c>
      <c r="I16" s="13">
        <v>0</v>
      </c>
      <c r="J16" s="13">
        <v>1</v>
      </c>
      <c r="K16" s="13">
        <v>1</v>
      </c>
      <c r="L16" s="13">
        <v>0</v>
      </c>
    </row>
    <row r="19" spans="9:13" x14ac:dyDescent="0.15">
      <c r="I19" s="34" t="s">
        <v>183</v>
      </c>
      <c r="J19" s="34" t="s">
        <v>179</v>
      </c>
      <c r="K19" s="34" t="s">
        <v>179</v>
      </c>
      <c r="L19" s="34" t="s">
        <v>183</v>
      </c>
      <c r="M19" s="37" t="s">
        <v>185</v>
      </c>
    </row>
    <row r="20" spans="9:13" x14ac:dyDescent="0.15">
      <c r="I20" s="34" t="s">
        <v>182</v>
      </c>
      <c r="J20" s="34" t="s">
        <v>180</v>
      </c>
      <c r="K20" s="34" t="s">
        <v>182</v>
      </c>
      <c r="L20" s="34" t="s">
        <v>180</v>
      </c>
      <c r="M20" s="37" t="s">
        <v>185</v>
      </c>
    </row>
    <row r="21" spans="9:13" x14ac:dyDescent="0.15">
      <c r="I21" s="34" t="s">
        <v>91</v>
      </c>
      <c r="J21" s="34" t="s">
        <v>91</v>
      </c>
      <c r="K21" s="34" t="s">
        <v>91</v>
      </c>
      <c r="L21" s="34" t="s">
        <v>91</v>
      </c>
      <c r="M21" s="37" t="s">
        <v>185</v>
      </c>
    </row>
    <row r="22" spans="9:13" x14ac:dyDescent="0.15">
      <c r="I22" s="34" t="s">
        <v>181</v>
      </c>
      <c r="J22" s="34" t="s">
        <v>91</v>
      </c>
      <c r="K22" s="34" t="s">
        <v>91</v>
      </c>
      <c r="L22" s="34" t="s">
        <v>91</v>
      </c>
      <c r="M22" s="37" t="s">
        <v>185</v>
      </c>
    </row>
    <row r="23" spans="9:13" x14ac:dyDescent="0.15">
      <c r="I23" s="34" t="s">
        <v>91</v>
      </c>
      <c r="J23" s="34" t="s">
        <v>181</v>
      </c>
      <c r="K23" s="34" t="s">
        <v>91</v>
      </c>
      <c r="L23" s="34" t="s">
        <v>181</v>
      </c>
      <c r="M23" s="37" t="s">
        <v>185</v>
      </c>
    </row>
    <row r="24" spans="9:13" x14ac:dyDescent="0.15">
      <c r="I24" s="34" t="s">
        <v>181</v>
      </c>
      <c r="J24" s="34" t="s">
        <v>91</v>
      </c>
      <c r="K24" s="34" t="s">
        <v>181</v>
      </c>
      <c r="L24" s="34" t="s">
        <v>91</v>
      </c>
      <c r="M24" s="37" t="s">
        <v>185</v>
      </c>
    </row>
    <row r="25" spans="9:13" x14ac:dyDescent="0.15">
      <c r="I25" s="34" t="s">
        <v>91</v>
      </c>
      <c r="J25" s="34" t="s">
        <v>181</v>
      </c>
      <c r="K25" s="34" t="s">
        <v>181</v>
      </c>
      <c r="L25" s="34" t="s">
        <v>181</v>
      </c>
      <c r="M25" s="37" t="s">
        <v>185</v>
      </c>
    </row>
    <row r="26" spans="9:13" x14ac:dyDescent="0.15">
      <c r="I26" s="34" t="s">
        <v>181</v>
      </c>
      <c r="J26" s="34" t="s">
        <v>181</v>
      </c>
      <c r="K26" s="34" t="s">
        <v>181</v>
      </c>
      <c r="L26" s="34" t="s">
        <v>181</v>
      </c>
      <c r="M26" s="37" t="s">
        <v>185</v>
      </c>
    </row>
    <row r="28" spans="9:13" x14ac:dyDescent="0.15">
      <c r="J28" s="12" t="s">
        <v>87</v>
      </c>
    </row>
  </sheetData>
  <mergeCells count="1">
    <mergeCell ref="I6:L6"/>
  </mergeCells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D3"/>
  <sheetViews>
    <sheetView zoomScale="85" zoomScaleNormal="85" workbookViewId="0">
      <selection activeCell="H7" sqref="H7"/>
    </sheetView>
  </sheetViews>
  <sheetFormatPr defaultRowHeight="13.5" x14ac:dyDescent="0.15"/>
  <cols>
    <col min="1" max="1" width="22.875" customWidth="1"/>
    <col min="2" max="2" width="50.75" customWidth="1"/>
    <col min="3" max="3" width="12.5" customWidth="1"/>
  </cols>
  <sheetData>
    <row r="1" spans="1:4" x14ac:dyDescent="0.15">
      <c r="A1" s="14" t="s">
        <v>42</v>
      </c>
      <c r="B1" s="14" t="s">
        <v>29</v>
      </c>
      <c r="C1" s="14" t="s">
        <v>30</v>
      </c>
      <c r="D1" s="14" t="s">
        <v>33</v>
      </c>
    </row>
    <row r="2" spans="1:4" x14ac:dyDescent="0.15">
      <c r="A2" s="14" t="s">
        <v>40</v>
      </c>
      <c r="B2" s="14" t="s">
        <v>89</v>
      </c>
      <c r="C2" s="11" t="s">
        <v>150</v>
      </c>
      <c r="D2" s="11">
        <v>1</v>
      </c>
    </row>
    <row r="3" spans="1:4" x14ac:dyDescent="0.15">
      <c r="A3" s="14" t="s">
        <v>149</v>
      </c>
      <c r="B3" s="14" t="s">
        <v>196</v>
      </c>
      <c r="C3" s="11" t="s">
        <v>195</v>
      </c>
      <c r="D3" s="11">
        <v>1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10"/>
  <sheetViews>
    <sheetView workbookViewId="0">
      <selection activeCell="B3" sqref="B3"/>
    </sheetView>
  </sheetViews>
  <sheetFormatPr defaultRowHeight="13.5" x14ac:dyDescent="0.15"/>
  <sheetData>
    <row r="1" spans="1:3" x14ac:dyDescent="0.15">
      <c r="A1" t="s">
        <v>13</v>
      </c>
      <c r="B1">
        <v>1845</v>
      </c>
      <c r="C1" t="s">
        <v>20</v>
      </c>
    </row>
    <row r="2" spans="1:3" x14ac:dyDescent="0.15">
      <c r="A2" t="s">
        <v>14</v>
      </c>
      <c r="B2">
        <v>50</v>
      </c>
      <c r="C2" t="s">
        <v>21</v>
      </c>
    </row>
    <row r="3" spans="1:3" x14ac:dyDescent="0.15">
      <c r="A3" t="s">
        <v>99</v>
      </c>
      <c r="B3">
        <v>1</v>
      </c>
      <c r="C3" t="s">
        <v>26</v>
      </c>
    </row>
    <row r="4" spans="1:3" x14ac:dyDescent="0.15">
      <c r="A4" t="s">
        <v>15</v>
      </c>
    </row>
    <row r="5" spans="1:3" x14ac:dyDescent="0.15">
      <c r="A5" t="s">
        <v>16</v>
      </c>
      <c r="B5">
        <v>1</v>
      </c>
      <c r="C5" t="s">
        <v>152</v>
      </c>
    </row>
    <row r="6" spans="1:3" x14ac:dyDescent="0.15">
      <c r="A6" t="s">
        <v>88</v>
      </c>
      <c r="B6">
        <v>1</v>
      </c>
      <c r="C6" t="s">
        <v>31</v>
      </c>
    </row>
    <row r="7" spans="1:3" x14ac:dyDescent="0.15">
      <c r="A7" t="s">
        <v>41</v>
      </c>
      <c r="B7">
        <v>2</v>
      </c>
      <c r="C7" t="s">
        <v>32</v>
      </c>
    </row>
    <row r="8" spans="1:3" x14ac:dyDescent="0.15">
      <c r="A8" t="s">
        <v>17</v>
      </c>
      <c r="B8">
        <v>0</v>
      </c>
      <c r="C8" t="s">
        <v>151</v>
      </c>
    </row>
    <row r="9" spans="1:3" x14ac:dyDescent="0.15">
      <c r="A9" t="s">
        <v>18</v>
      </c>
    </row>
    <row r="10" spans="1:3" x14ac:dyDescent="0.15">
      <c r="A10" t="s">
        <v>19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B1:B2"/>
  <sheetViews>
    <sheetView workbookViewId="0">
      <pane ySplit="1" topLeftCell="A2" activePane="bottomLeft" state="frozen"/>
      <selection pane="bottomLeft" activeCell="B9" sqref="B9"/>
    </sheetView>
  </sheetViews>
  <sheetFormatPr defaultRowHeight="13.5" x14ac:dyDescent="0.15"/>
  <sheetData>
    <row r="1" spans="2:2" s="1" customFormat="1" ht="52.5" customHeight="1" x14ac:dyDescent="0.15"/>
    <row r="2" spans="2:2" x14ac:dyDescent="0.15">
      <c r="B2" t="s">
        <v>205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D1:H17"/>
  <sheetViews>
    <sheetView showRowColHeaders="0" zoomScale="85" zoomScaleNormal="85" workbookViewId="0">
      <selection activeCell="H9" sqref="H9"/>
    </sheetView>
  </sheetViews>
  <sheetFormatPr defaultColWidth="9" defaultRowHeight="13.5" x14ac:dyDescent="0.15"/>
  <cols>
    <col min="1" max="3" width="4" style="7" customWidth="1"/>
    <col min="4" max="4" width="21.5" style="7" customWidth="1"/>
    <col min="5" max="7" width="4" style="7" customWidth="1"/>
    <col min="8" max="8" width="40.875" style="7" customWidth="1"/>
    <col min="9" max="13" width="4" style="7" customWidth="1"/>
    <col min="14" max="16384" width="9" style="7"/>
  </cols>
  <sheetData>
    <row r="1" spans="4:8" ht="16.5" x14ac:dyDescent="0.35">
      <c r="D1" s="16" t="s">
        <v>62</v>
      </c>
      <c r="H1" s="16" t="s">
        <v>177</v>
      </c>
    </row>
    <row r="2" spans="4:8" x14ac:dyDescent="0.15">
      <c r="D2" s="17" t="s">
        <v>92</v>
      </c>
      <c r="H2" s="17" t="s">
        <v>192</v>
      </c>
    </row>
    <row r="3" spans="4:8" x14ac:dyDescent="0.15">
      <c r="D3" s="17" t="s">
        <v>63</v>
      </c>
      <c r="H3" s="17" t="s">
        <v>92</v>
      </c>
    </row>
    <row r="4" spans="4:8" x14ac:dyDescent="0.15">
      <c r="D4" s="17" t="s">
        <v>63</v>
      </c>
      <c r="H4" s="17"/>
    </row>
    <row r="5" spans="4:8" x14ac:dyDescent="0.15">
      <c r="D5" s="17"/>
      <c r="H5" s="17"/>
    </row>
    <row r="6" spans="4:8" x14ac:dyDescent="0.15">
      <c r="D6" s="17"/>
      <c r="H6" s="17"/>
    </row>
    <row r="7" spans="4:8" x14ac:dyDescent="0.15">
      <c r="D7" s="17"/>
      <c r="H7" s="17"/>
    </row>
    <row r="8" spans="4:8" x14ac:dyDescent="0.15">
      <c r="D8" s="17"/>
      <c r="H8" s="17"/>
    </row>
    <row r="9" spans="4:8" x14ac:dyDescent="0.15">
      <c r="D9" s="17"/>
      <c r="H9" s="17"/>
    </row>
    <row r="10" spans="4:8" x14ac:dyDescent="0.15">
      <c r="D10" s="17"/>
      <c r="H10" s="17"/>
    </row>
    <row r="11" spans="4:8" x14ac:dyDescent="0.15">
      <c r="D11" s="17"/>
      <c r="H11" s="17"/>
    </row>
    <row r="12" spans="4:8" x14ac:dyDescent="0.15">
      <c r="D12" s="17"/>
      <c r="H12" s="17"/>
    </row>
    <row r="13" spans="4:8" x14ac:dyDescent="0.15">
      <c r="D13" s="17"/>
      <c r="H13" s="17"/>
    </row>
    <row r="14" spans="4:8" x14ac:dyDescent="0.15">
      <c r="D14" s="17"/>
      <c r="H14" s="17"/>
    </row>
    <row r="15" spans="4:8" x14ac:dyDescent="0.15">
      <c r="D15" s="17"/>
      <c r="H15" s="17"/>
    </row>
    <row r="16" spans="4:8" x14ac:dyDescent="0.15">
      <c r="D16" s="17"/>
      <c r="H16" s="17"/>
    </row>
    <row r="17" spans="4:8" x14ac:dyDescent="0.15">
      <c r="D17" s="17"/>
      <c r="H17" s="17"/>
    </row>
  </sheetData>
  <phoneticPr fontId="9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D1:H31"/>
  <sheetViews>
    <sheetView showRowColHeaders="0" workbookViewId="0">
      <selection activeCell="F27" sqref="F27"/>
    </sheetView>
  </sheetViews>
  <sheetFormatPr defaultColWidth="9" defaultRowHeight="13.5" x14ac:dyDescent="0.15"/>
  <cols>
    <col min="1" max="3" width="4" style="7" customWidth="1"/>
    <col min="4" max="4" width="27.125" style="7" customWidth="1"/>
    <col min="5" max="7" width="4" style="7" customWidth="1"/>
    <col min="8" max="8" width="24.75" style="7" customWidth="1"/>
    <col min="9" max="13" width="4" style="7" customWidth="1"/>
    <col min="14" max="16384" width="9" style="7"/>
  </cols>
  <sheetData>
    <row r="1" spans="4:8" x14ac:dyDescent="0.15">
      <c r="D1" s="8" t="s">
        <v>27</v>
      </c>
      <c r="H1" s="8" t="s">
        <v>28</v>
      </c>
    </row>
    <row r="2" spans="4:8" x14ac:dyDescent="0.15">
      <c r="D2" s="9" t="s">
        <v>91</v>
      </c>
      <c r="H2" s="9" t="s">
        <v>91</v>
      </c>
    </row>
    <row r="3" spans="4:8" x14ac:dyDescent="0.15">
      <c r="D3" s="9" t="s">
        <v>61</v>
      </c>
      <c r="H3" s="9" t="s">
        <v>66</v>
      </c>
    </row>
    <row r="4" spans="4:8" x14ac:dyDescent="0.15">
      <c r="D4" s="9" t="s">
        <v>58</v>
      </c>
      <c r="H4" s="9" t="s">
        <v>70</v>
      </c>
    </row>
    <row r="5" spans="4:8" x14ac:dyDescent="0.15">
      <c r="D5" s="9" t="s">
        <v>59</v>
      </c>
      <c r="H5" s="9"/>
    </row>
    <row r="6" spans="4:8" x14ac:dyDescent="0.15">
      <c r="D6" s="9" t="s">
        <v>60</v>
      </c>
      <c r="H6" s="9"/>
    </row>
    <row r="7" spans="4:8" x14ac:dyDescent="0.15">
      <c r="D7" s="9" t="s">
        <v>95</v>
      </c>
      <c r="H7" s="9"/>
    </row>
    <row r="8" spans="4:8" x14ac:dyDescent="0.15">
      <c r="D8" s="9" t="s">
        <v>65</v>
      </c>
      <c r="H8" s="9"/>
    </row>
    <row r="9" spans="4:8" x14ac:dyDescent="0.15">
      <c r="D9" s="9" t="s">
        <v>68</v>
      </c>
      <c r="H9" s="9"/>
    </row>
    <row r="10" spans="4:8" x14ac:dyDescent="0.15">
      <c r="D10" s="9" t="s">
        <v>78</v>
      </c>
      <c r="H10" s="9"/>
    </row>
    <row r="11" spans="4:8" x14ac:dyDescent="0.15">
      <c r="D11" s="9" t="s">
        <v>106</v>
      </c>
      <c r="H11" s="9"/>
    </row>
    <row r="12" spans="4:8" x14ac:dyDescent="0.15">
      <c r="D12" s="9"/>
      <c r="H12" s="9"/>
    </row>
    <row r="13" spans="4:8" x14ac:dyDescent="0.15">
      <c r="D13" s="9"/>
      <c r="H13" s="9"/>
    </row>
    <row r="14" spans="4:8" x14ac:dyDescent="0.15">
      <c r="D14" s="9"/>
      <c r="H14" s="9"/>
    </row>
    <row r="15" spans="4:8" x14ac:dyDescent="0.15">
      <c r="D15" s="9"/>
      <c r="H15" s="9"/>
    </row>
    <row r="16" spans="4:8" x14ac:dyDescent="0.15">
      <c r="D16" s="9"/>
      <c r="H16" s="9"/>
    </row>
    <row r="17" spans="4:8" x14ac:dyDescent="0.15">
      <c r="D17" s="9"/>
      <c r="H17" s="9"/>
    </row>
    <row r="18" spans="4:8" x14ac:dyDescent="0.15">
      <c r="D18" s="9"/>
      <c r="H18" s="9"/>
    </row>
    <row r="19" spans="4:8" x14ac:dyDescent="0.15">
      <c r="D19" s="9"/>
      <c r="H19" s="9"/>
    </row>
    <row r="20" spans="4:8" x14ac:dyDescent="0.15">
      <c r="D20" s="9"/>
      <c r="H20" s="9"/>
    </row>
    <row r="21" spans="4:8" x14ac:dyDescent="0.15">
      <c r="D21" s="9"/>
      <c r="H21" s="9"/>
    </row>
    <row r="22" spans="4:8" x14ac:dyDescent="0.15">
      <c r="D22" s="9"/>
      <c r="H22" s="9"/>
    </row>
    <row r="23" spans="4:8" x14ac:dyDescent="0.15">
      <c r="D23" s="9"/>
      <c r="H23" s="9"/>
    </row>
    <row r="24" spans="4:8" x14ac:dyDescent="0.15">
      <c r="D24" s="9"/>
      <c r="H24" s="9"/>
    </row>
    <row r="25" spans="4:8" x14ac:dyDescent="0.15">
      <c r="D25" s="9"/>
      <c r="H25" s="9"/>
    </row>
    <row r="26" spans="4:8" x14ac:dyDescent="0.15">
      <c r="D26" s="9"/>
      <c r="H26" s="9"/>
    </row>
    <row r="27" spans="4:8" x14ac:dyDescent="0.15">
      <c r="D27" s="9"/>
      <c r="H27" s="9"/>
    </row>
    <row r="28" spans="4:8" x14ac:dyDescent="0.15">
      <c r="D28" s="9"/>
      <c r="H28" s="9"/>
    </row>
    <row r="29" spans="4:8" x14ac:dyDescent="0.15">
      <c r="D29" s="9"/>
      <c r="H29" s="9"/>
    </row>
    <row r="30" spans="4:8" x14ac:dyDescent="0.15">
      <c r="D30" s="9"/>
      <c r="H30" s="9"/>
    </row>
    <row r="31" spans="4:8" x14ac:dyDescent="0.15">
      <c r="D31" s="9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"/>
  <sheetViews>
    <sheetView showRowColHeaders="0" zoomScaleNormal="100" workbookViewId="0">
      <selection activeCell="B31" sqref="B31"/>
    </sheetView>
  </sheetViews>
  <sheetFormatPr defaultColWidth="9" defaultRowHeight="13.5" x14ac:dyDescent="0.15"/>
  <cols>
    <col min="1" max="1" width="5" style="8" customWidth="1"/>
    <col min="2" max="16384" width="9" style="8"/>
  </cols>
  <sheetData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/>
  <dimension ref="A1:C5"/>
  <sheetViews>
    <sheetView workbookViewId="0">
      <selection activeCell="C10" sqref="C10"/>
    </sheetView>
  </sheetViews>
  <sheetFormatPr defaultRowHeight="13.5" x14ac:dyDescent="0.15"/>
  <cols>
    <col min="2" max="3" width="31.5" customWidth="1"/>
  </cols>
  <sheetData>
    <row r="1" spans="1:3" x14ac:dyDescent="0.15">
      <c r="A1" t="s">
        <v>51</v>
      </c>
      <c r="B1" t="s">
        <v>145</v>
      </c>
      <c r="C1" t="s">
        <v>50</v>
      </c>
    </row>
    <row r="2" spans="1:3" x14ac:dyDescent="0.15">
      <c r="A2">
        <v>1</v>
      </c>
      <c r="B2" t="s">
        <v>146</v>
      </c>
      <c r="C2" s="33" t="s">
        <v>175</v>
      </c>
    </row>
    <row r="3" spans="1:3" x14ac:dyDescent="0.15">
      <c r="C3" s="33"/>
    </row>
    <row r="4" spans="1:3" x14ac:dyDescent="0.15">
      <c r="C4" s="33"/>
    </row>
    <row r="5" spans="1:3" x14ac:dyDescent="0.15">
      <c r="C5" s="33"/>
    </row>
  </sheetData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/>
  <dimension ref="A1:L25"/>
  <sheetViews>
    <sheetView workbookViewId="0">
      <selection activeCell="H4" sqref="H4"/>
    </sheetView>
  </sheetViews>
  <sheetFormatPr defaultRowHeight="13.5" x14ac:dyDescent="0.15"/>
  <cols>
    <col min="6" max="6" width="13.25" customWidth="1"/>
  </cols>
  <sheetData>
    <row r="1" spans="1:12" x14ac:dyDescent="0.15">
      <c r="A1">
        <v>0</v>
      </c>
      <c r="B1" t="s">
        <v>132</v>
      </c>
      <c r="C1" t="s">
        <v>54</v>
      </c>
      <c r="D1" t="s">
        <v>133</v>
      </c>
      <c r="E1" t="s">
        <v>134</v>
      </c>
      <c r="F1" t="s">
        <v>136</v>
      </c>
      <c r="G1" t="s">
        <v>135</v>
      </c>
      <c r="K1" t="s">
        <v>144</v>
      </c>
      <c r="L1">
        <v>5</v>
      </c>
    </row>
    <row r="2" spans="1:12" x14ac:dyDescent="0.15">
      <c r="A2">
        <v>1</v>
      </c>
      <c r="B2">
        <v>380</v>
      </c>
      <c r="C2" s="35">
        <v>119</v>
      </c>
      <c r="D2">
        <v>100</v>
      </c>
      <c r="E2">
        <v>23</v>
      </c>
    </row>
    <row r="3" spans="1:12" x14ac:dyDescent="0.15">
      <c r="A3">
        <v>2</v>
      </c>
      <c r="B3">
        <v>380</v>
      </c>
      <c r="C3">
        <f>C2+E2+$L$1</f>
        <v>147</v>
      </c>
      <c r="D3">
        <v>100</v>
      </c>
      <c r="E3">
        <v>23</v>
      </c>
    </row>
    <row r="4" spans="1:12" x14ac:dyDescent="0.15">
      <c r="A4">
        <v>3</v>
      </c>
      <c r="B4">
        <v>380</v>
      </c>
      <c r="C4">
        <f t="shared" ref="C4:C9" si="0">C3+E3+$L$1</f>
        <v>175</v>
      </c>
      <c r="D4">
        <v>100</v>
      </c>
      <c r="E4">
        <v>23</v>
      </c>
    </row>
    <row r="5" spans="1:12" x14ac:dyDescent="0.15">
      <c r="A5">
        <v>4</v>
      </c>
      <c r="B5">
        <v>380</v>
      </c>
      <c r="C5">
        <f t="shared" si="0"/>
        <v>203</v>
      </c>
      <c r="D5">
        <v>100</v>
      </c>
      <c r="E5">
        <v>23</v>
      </c>
    </row>
    <row r="6" spans="1:12" x14ac:dyDescent="0.15">
      <c r="A6">
        <v>5</v>
      </c>
      <c r="B6">
        <v>380</v>
      </c>
      <c r="C6">
        <f t="shared" si="0"/>
        <v>231</v>
      </c>
      <c r="D6">
        <v>100</v>
      </c>
      <c r="E6">
        <v>23</v>
      </c>
    </row>
    <row r="7" spans="1:12" x14ac:dyDescent="0.15">
      <c r="A7">
        <v>6</v>
      </c>
      <c r="B7">
        <v>380</v>
      </c>
      <c r="C7">
        <f t="shared" si="0"/>
        <v>259</v>
      </c>
      <c r="D7">
        <v>100</v>
      </c>
      <c r="E7">
        <v>23</v>
      </c>
    </row>
    <row r="8" spans="1:12" x14ac:dyDescent="0.15">
      <c r="A8">
        <v>7</v>
      </c>
      <c r="B8">
        <v>380</v>
      </c>
      <c r="C8">
        <f t="shared" si="0"/>
        <v>287</v>
      </c>
      <c r="D8">
        <v>100</v>
      </c>
      <c r="E8">
        <v>23</v>
      </c>
    </row>
    <row r="9" spans="1:12" x14ac:dyDescent="0.15">
      <c r="A9">
        <v>8</v>
      </c>
      <c r="B9">
        <v>380</v>
      </c>
      <c r="C9">
        <f t="shared" si="0"/>
        <v>315</v>
      </c>
      <c r="D9">
        <v>100</v>
      </c>
      <c r="E9">
        <v>23</v>
      </c>
    </row>
    <row r="10" spans="1:12" x14ac:dyDescent="0.15">
      <c r="A10">
        <v>9</v>
      </c>
      <c r="B10">
        <v>500</v>
      </c>
      <c r="C10" s="35">
        <v>119</v>
      </c>
      <c r="D10">
        <v>100</v>
      </c>
      <c r="E10">
        <v>23</v>
      </c>
    </row>
    <row r="11" spans="1:12" x14ac:dyDescent="0.15">
      <c r="A11">
        <v>10</v>
      </c>
      <c r="B11">
        <v>500</v>
      </c>
      <c r="C11">
        <f>C10+E10+$L$1</f>
        <v>147</v>
      </c>
      <c r="D11">
        <v>100</v>
      </c>
      <c r="E11">
        <v>23</v>
      </c>
    </row>
    <row r="12" spans="1:12" x14ac:dyDescent="0.15">
      <c r="A12">
        <v>11</v>
      </c>
      <c r="B12">
        <v>500</v>
      </c>
      <c r="C12">
        <f t="shared" ref="C12:C17" si="1">C11+E11+$L$1</f>
        <v>175</v>
      </c>
      <c r="D12">
        <v>100</v>
      </c>
      <c r="E12">
        <v>23</v>
      </c>
    </row>
    <row r="13" spans="1:12" x14ac:dyDescent="0.15">
      <c r="A13">
        <v>12</v>
      </c>
      <c r="B13">
        <v>500</v>
      </c>
      <c r="C13">
        <f t="shared" si="1"/>
        <v>203</v>
      </c>
      <c r="D13">
        <v>100</v>
      </c>
      <c r="E13">
        <v>23</v>
      </c>
    </row>
    <row r="14" spans="1:12" x14ac:dyDescent="0.15">
      <c r="A14">
        <v>13</v>
      </c>
      <c r="B14">
        <v>500</v>
      </c>
      <c r="C14">
        <f t="shared" si="1"/>
        <v>231</v>
      </c>
      <c r="D14">
        <v>100</v>
      </c>
      <c r="E14">
        <v>23</v>
      </c>
    </row>
    <row r="15" spans="1:12" x14ac:dyDescent="0.15">
      <c r="A15">
        <v>14</v>
      </c>
      <c r="B15">
        <v>500</v>
      </c>
      <c r="C15">
        <f t="shared" si="1"/>
        <v>259</v>
      </c>
      <c r="D15">
        <v>100</v>
      </c>
      <c r="E15">
        <v>23</v>
      </c>
    </row>
    <row r="16" spans="1:12" x14ac:dyDescent="0.15">
      <c r="A16">
        <v>15</v>
      </c>
      <c r="B16">
        <v>500</v>
      </c>
      <c r="C16">
        <f t="shared" si="1"/>
        <v>287</v>
      </c>
      <c r="D16">
        <v>100</v>
      </c>
      <c r="E16">
        <v>23</v>
      </c>
    </row>
    <row r="17" spans="1:5" x14ac:dyDescent="0.15">
      <c r="A17">
        <v>16</v>
      </c>
      <c r="B17">
        <v>500</v>
      </c>
      <c r="C17">
        <f t="shared" si="1"/>
        <v>315</v>
      </c>
      <c r="D17">
        <v>100</v>
      </c>
      <c r="E17">
        <v>23</v>
      </c>
    </row>
    <row r="18" spans="1:5" x14ac:dyDescent="0.15">
      <c r="A18">
        <v>17</v>
      </c>
      <c r="B18">
        <v>620</v>
      </c>
      <c r="C18" s="35">
        <v>119</v>
      </c>
      <c r="D18">
        <v>100</v>
      </c>
      <c r="E18">
        <v>23</v>
      </c>
    </row>
    <row r="19" spans="1:5" x14ac:dyDescent="0.15">
      <c r="A19">
        <v>18</v>
      </c>
      <c r="B19">
        <v>620</v>
      </c>
      <c r="C19">
        <f>C18+E18+$L$1</f>
        <v>147</v>
      </c>
      <c r="D19">
        <v>100</v>
      </c>
      <c r="E19">
        <v>23</v>
      </c>
    </row>
    <row r="20" spans="1:5" x14ac:dyDescent="0.15">
      <c r="A20">
        <v>19</v>
      </c>
      <c r="B20">
        <v>620</v>
      </c>
      <c r="C20">
        <f t="shared" ref="C20:C25" si="2">C19+E19+$L$1</f>
        <v>175</v>
      </c>
      <c r="D20">
        <v>100</v>
      </c>
      <c r="E20">
        <v>23</v>
      </c>
    </row>
    <row r="21" spans="1:5" x14ac:dyDescent="0.15">
      <c r="A21">
        <v>20</v>
      </c>
      <c r="B21">
        <v>620</v>
      </c>
      <c r="C21">
        <f t="shared" si="2"/>
        <v>203</v>
      </c>
      <c r="D21">
        <v>100</v>
      </c>
      <c r="E21">
        <v>23</v>
      </c>
    </row>
    <row r="22" spans="1:5" x14ac:dyDescent="0.15">
      <c r="A22">
        <v>21</v>
      </c>
      <c r="B22">
        <v>620</v>
      </c>
      <c r="C22">
        <f t="shared" si="2"/>
        <v>231</v>
      </c>
      <c r="D22">
        <v>100</v>
      </c>
      <c r="E22">
        <v>23</v>
      </c>
    </row>
    <row r="23" spans="1:5" x14ac:dyDescent="0.15">
      <c r="A23">
        <v>22</v>
      </c>
      <c r="B23">
        <v>620</v>
      </c>
      <c r="C23">
        <f t="shared" si="2"/>
        <v>259</v>
      </c>
      <c r="D23">
        <v>100</v>
      </c>
      <c r="E23">
        <v>23</v>
      </c>
    </row>
    <row r="24" spans="1:5" x14ac:dyDescent="0.15">
      <c r="A24">
        <v>23</v>
      </c>
      <c r="B24">
        <v>620</v>
      </c>
      <c r="C24">
        <f t="shared" si="2"/>
        <v>287</v>
      </c>
      <c r="D24">
        <v>100</v>
      </c>
      <c r="E24">
        <v>23</v>
      </c>
    </row>
    <row r="25" spans="1:5" x14ac:dyDescent="0.15">
      <c r="A25">
        <v>24</v>
      </c>
      <c r="B25">
        <v>620</v>
      </c>
      <c r="C25">
        <f t="shared" si="2"/>
        <v>315</v>
      </c>
      <c r="D25">
        <v>100</v>
      </c>
      <c r="E25">
        <v>23</v>
      </c>
    </row>
  </sheetData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C1:K70"/>
  <sheetViews>
    <sheetView showRowColHeaders="0" topLeftCell="A4" zoomScale="85" zoomScaleNormal="85" workbookViewId="0">
      <selection activeCell="J10" sqref="J10"/>
    </sheetView>
  </sheetViews>
  <sheetFormatPr defaultRowHeight="13.5" x14ac:dyDescent="0.15"/>
  <cols>
    <col min="1" max="1" width="16.875" customWidth="1"/>
    <col min="3" max="3" width="17.75" customWidth="1"/>
    <col min="4" max="4" width="26.875" customWidth="1"/>
    <col min="5" max="5" width="13.25" customWidth="1"/>
    <col min="6" max="6" width="16.25" customWidth="1"/>
    <col min="7" max="7" width="6.125" customWidth="1"/>
    <col min="8" max="8" width="15.25" customWidth="1"/>
    <col min="9" max="9" width="23.125" customWidth="1"/>
  </cols>
  <sheetData>
    <row r="1" spans="3:11" hidden="1" x14ac:dyDescent="0.15"/>
    <row r="2" spans="3:11" hidden="1" x14ac:dyDescent="0.15"/>
    <row r="3" spans="3:11" hidden="1" x14ac:dyDescent="0.15"/>
    <row r="4" spans="3:11" s="15" customFormat="1" ht="69" customHeight="1" x14ac:dyDescent="0.15">
      <c r="C4" s="24"/>
      <c r="D4" s="25" t="s">
        <v>108</v>
      </c>
      <c r="E4" s="26" t="s">
        <v>111</v>
      </c>
      <c r="F4" s="26" t="s">
        <v>147</v>
      </c>
      <c r="G4" s="36">
        <v>45</v>
      </c>
      <c r="H4" s="25"/>
      <c r="I4" s="25" t="s">
        <v>108</v>
      </c>
      <c r="J4" s="27" t="s">
        <v>109</v>
      </c>
      <c r="K4" s="26" t="s">
        <v>112</v>
      </c>
    </row>
    <row r="5" spans="3:11" s="8" customFormat="1" ht="16.5" x14ac:dyDescent="0.15">
      <c r="C5" s="28" t="s">
        <v>110</v>
      </c>
      <c r="D5" s="29" t="s">
        <v>201</v>
      </c>
      <c r="E5" s="31" t="s">
        <v>204</v>
      </c>
      <c r="F5" s="30"/>
      <c r="G5" s="30"/>
      <c r="H5" s="28" t="s">
        <v>143</v>
      </c>
      <c r="I5" s="29"/>
      <c r="J5" s="32"/>
      <c r="K5" s="31"/>
    </row>
    <row r="6" spans="3:11" s="8" customFormat="1" ht="16.5" x14ac:dyDescent="0.15">
      <c r="C6" s="30"/>
      <c r="D6" s="29"/>
      <c r="E6" s="31"/>
      <c r="F6" s="30"/>
      <c r="G6" s="30"/>
      <c r="H6" s="30"/>
      <c r="I6" s="29"/>
      <c r="J6" s="32"/>
      <c r="K6" s="31"/>
    </row>
    <row r="7" spans="3:11" s="8" customFormat="1" ht="16.5" x14ac:dyDescent="0.15">
      <c r="D7" s="29"/>
      <c r="E7" s="31"/>
      <c r="I7" s="29"/>
      <c r="J7" s="32"/>
      <c r="K7" s="31"/>
    </row>
    <row r="8" spans="3:11" s="8" customFormat="1" ht="16.5" x14ac:dyDescent="0.15">
      <c r="D8" s="29"/>
      <c r="E8" s="31"/>
      <c r="I8" s="29"/>
      <c r="J8" s="32"/>
      <c r="K8" s="31"/>
    </row>
    <row r="9" spans="3:11" s="8" customFormat="1" ht="16.5" x14ac:dyDescent="0.15">
      <c r="D9" s="29"/>
      <c r="E9" s="31"/>
      <c r="I9" s="29"/>
      <c r="J9" s="32"/>
      <c r="K9" s="31"/>
    </row>
    <row r="10" spans="3:11" s="8" customFormat="1" ht="16.5" x14ac:dyDescent="0.15">
      <c r="D10" s="29"/>
      <c r="E10" s="31"/>
      <c r="I10" s="29"/>
      <c r="J10" s="32"/>
      <c r="K10" s="31"/>
    </row>
    <row r="11" spans="3:11" s="8" customFormat="1" ht="16.5" x14ac:dyDescent="0.15">
      <c r="D11" s="29"/>
      <c r="E11" s="31"/>
      <c r="I11" s="29"/>
      <c r="J11" s="32"/>
      <c r="K11" s="31"/>
    </row>
    <row r="12" spans="3:11" s="8" customFormat="1" ht="16.5" x14ac:dyDescent="0.15">
      <c r="D12" s="29"/>
      <c r="E12" s="31"/>
      <c r="G12" s="8" t="s">
        <v>148</v>
      </c>
      <c r="I12" s="29"/>
      <c r="J12" s="32"/>
      <c r="K12" s="31"/>
    </row>
    <row r="13" spans="3:11" s="8" customFormat="1" ht="16.5" x14ac:dyDescent="0.15">
      <c r="D13" s="29"/>
      <c r="E13" s="31"/>
      <c r="I13" s="29"/>
      <c r="J13" s="32"/>
      <c r="K13" s="31"/>
    </row>
    <row r="14" spans="3:11" s="8" customFormat="1" ht="16.5" x14ac:dyDescent="0.15">
      <c r="D14" s="29"/>
      <c r="E14" s="31"/>
      <c r="I14" s="29"/>
      <c r="J14" s="32"/>
      <c r="K14" s="31"/>
    </row>
    <row r="15" spans="3:11" s="8" customFormat="1" ht="16.5" x14ac:dyDescent="0.15">
      <c r="D15" s="29"/>
      <c r="E15" s="31"/>
      <c r="I15" s="29"/>
      <c r="J15" s="32"/>
      <c r="K15" s="31"/>
    </row>
    <row r="16" spans="3:11" s="8" customFormat="1" ht="16.5" x14ac:dyDescent="0.15">
      <c r="D16" s="29"/>
      <c r="E16" s="31"/>
      <c r="I16" s="29"/>
      <c r="J16" s="32"/>
      <c r="K16" s="31"/>
    </row>
    <row r="17" spans="4:11" s="8" customFormat="1" ht="16.5" x14ac:dyDescent="0.15">
      <c r="D17" s="29"/>
      <c r="E17" s="31"/>
      <c r="I17" s="29"/>
      <c r="J17" s="32"/>
      <c r="K17" s="31"/>
    </row>
    <row r="18" spans="4:11" s="8" customFormat="1" ht="16.5" x14ac:dyDescent="0.15">
      <c r="D18" s="29"/>
      <c r="E18" s="31"/>
      <c r="I18" s="29"/>
      <c r="J18" s="32"/>
      <c r="K18" s="31"/>
    </row>
    <row r="19" spans="4:11" s="8" customFormat="1" ht="16.5" x14ac:dyDescent="0.15">
      <c r="D19" s="29"/>
      <c r="E19" s="31"/>
      <c r="I19" s="29"/>
      <c r="J19" s="32"/>
      <c r="K19" s="31"/>
    </row>
    <row r="20" spans="4:11" s="8" customFormat="1" ht="16.5" x14ac:dyDescent="0.15">
      <c r="D20" s="29"/>
      <c r="E20" s="31"/>
      <c r="I20" s="29"/>
      <c r="J20" s="32"/>
      <c r="K20" s="31"/>
    </row>
    <row r="21" spans="4:11" s="8" customFormat="1" ht="16.5" x14ac:dyDescent="0.15">
      <c r="D21" s="29"/>
      <c r="E21" s="31"/>
      <c r="I21" s="29"/>
      <c r="J21" s="32"/>
      <c r="K21" s="31"/>
    </row>
    <row r="22" spans="4:11" s="8" customFormat="1" ht="16.5" x14ac:dyDescent="0.15">
      <c r="D22" s="29"/>
      <c r="E22" s="31"/>
      <c r="I22" s="29"/>
      <c r="J22" s="32"/>
      <c r="K22" s="31"/>
    </row>
    <row r="23" spans="4:11" s="8" customFormat="1" ht="16.5" x14ac:dyDescent="0.15">
      <c r="D23" s="29"/>
      <c r="E23" s="31"/>
      <c r="I23" s="29"/>
      <c r="J23" s="32"/>
      <c r="K23" s="31"/>
    </row>
    <row r="24" spans="4:11" s="8" customFormat="1" ht="16.5" x14ac:dyDescent="0.15">
      <c r="D24" s="29"/>
      <c r="E24" s="31"/>
      <c r="I24" s="29"/>
      <c r="J24" s="32"/>
      <c r="K24" s="31"/>
    </row>
    <row r="25" spans="4:11" s="8" customFormat="1" ht="16.5" x14ac:dyDescent="0.15">
      <c r="D25" s="29"/>
      <c r="E25" s="31"/>
      <c r="I25" s="29"/>
      <c r="J25" s="32"/>
      <c r="K25" s="31"/>
    </row>
    <row r="26" spans="4:11" s="8" customFormat="1" ht="16.5" x14ac:dyDescent="0.15">
      <c r="D26" s="29"/>
      <c r="E26" s="31"/>
      <c r="I26" s="29"/>
      <c r="J26" s="32"/>
      <c r="K26" s="31"/>
    </row>
    <row r="27" spans="4:11" s="8" customFormat="1" ht="16.5" x14ac:dyDescent="0.15">
      <c r="D27" s="29"/>
      <c r="E27" s="31"/>
      <c r="I27" s="29"/>
      <c r="J27" s="32"/>
      <c r="K27" s="31"/>
    </row>
    <row r="28" spans="4:11" s="8" customFormat="1" ht="16.5" x14ac:dyDescent="0.15">
      <c r="D28" s="29"/>
      <c r="E28" s="31"/>
      <c r="I28" s="29"/>
      <c r="J28" s="32"/>
      <c r="K28" s="31"/>
    </row>
    <row r="29" spans="4:11" s="8" customFormat="1" ht="16.5" x14ac:dyDescent="0.15">
      <c r="D29" s="29"/>
      <c r="E29" s="31"/>
      <c r="I29" s="29"/>
      <c r="J29" s="32"/>
      <c r="K29" s="31"/>
    </row>
    <row r="30" spans="4:11" s="8" customFormat="1" x14ac:dyDescent="0.15"/>
    <row r="31" spans="4:11" s="8" customFormat="1" x14ac:dyDescent="0.15"/>
    <row r="32" spans="4:11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  <row r="45" s="8" customFormat="1" x14ac:dyDescent="0.15"/>
    <row r="46" s="8" customFormat="1" x14ac:dyDescent="0.15"/>
    <row r="47" s="8" customFormat="1" x14ac:dyDescent="0.15"/>
    <row r="48" s="8" customFormat="1" x14ac:dyDescent="0.15"/>
    <row r="49" s="8" customFormat="1" x14ac:dyDescent="0.15"/>
    <row r="50" s="8" customFormat="1" x14ac:dyDescent="0.15"/>
    <row r="51" s="8" customFormat="1" x14ac:dyDescent="0.15"/>
    <row r="52" s="8" customFormat="1" x14ac:dyDescent="0.15"/>
    <row r="53" s="8" customFormat="1" x14ac:dyDescent="0.15"/>
    <row r="54" s="8" customFormat="1" x14ac:dyDescent="0.15"/>
    <row r="55" s="8" customFormat="1" x14ac:dyDescent="0.15"/>
    <row r="56" s="8" customFormat="1" x14ac:dyDescent="0.15"/>
    <row r="57" s="8" customFormat="1" x14ac:dyDescent="0.15"/>
    <row r="58" s="8" customFormat="1" x14ac:dyDescent="0.15"/>
    <row r="59" s="8" customFormat="1" x14ac:dyDescent="0.15"/>
    <row r="60" s="8" customFormat="1" x14ac:dyDescent="0.15"/>
    <row r="61" s="8" customFormat="1" x14ac:dyDescent="0.15"/>
    <row r="62" s="8" customFormat="1" x14ac:dyDescent="0.15"/>
    <row r="63" s="8" customFormat="1" x14ac:dyDescent="0.15"/>
    <row r="64" s="8" customFormat="1" x14ac:dyDescent="0.15"/>
    <row r="65" s="8" customFormat="1" x14ac:dyDescent="0.15"/>
    <row r="66" s="8" customFormat="1" x14ac:dyDescent="0.15"/>
    <row r="67" s="8" customFormat="1" x14ac:dyDescent="0.15"/>
    <row r="68" s="8" customFormat="1" x14ac:dyDescent="0.15"/>
    <row r="69" s="8" customFormat="1" x14ac:dyDescent="0.15"/>
    <row r="70" s="8" customFormat="1" x14ac:dyDescent="0.15"/>
  </sheetData>
  <phoneticPr fontId="1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C1:C24"/>
  <sheetViews>
    <sheetView showRowColHeaders="0" zoomScale="70" zoomScaleNormal="70" workbookViewId="0">
      <selection activeCell="C5" sqref="C5"/>
    </sheetView>
  </sheetViews>
  <sheetFormatPr defaultRowHeight="13.5" x14ac:dyDescent="0.15"/>
  <cols>
    <col min="3" max="3" width="81.25" customWidth="1"/>
    <col min="4" max="9" width="23.875" customWidth="1"/>
  </cols>
  <sheetData>
    <row r="1" spans="3:3" ht="41.25" customHeight="1" x14ac:dyDescent="0.15"/>
    <row r="2" spans="3:3" ht="41.25" customHeight="1" x14ac:dyDescent="0.15">
      <c r="C2" t="s">
        <v>137</v>
      </c>
    </row>
    <row r="3" spans="3:3" ht="41.25" customHeight="1" x14ac:dyDescent="0.15"/>
    <row r="4" spans="3:3" ht="41.25" customHeight="1" x14ac:dyDescent="0.15"/>
    <row r="5" spans="3:3" ht="41.25" customHeight="1" x14ac:dyDescent="0.15"/>
    <row r="6" spans="3:3" ht="41.25" customHeight="1" x14ac:dyDescent="0.15"/>
    <row r="7" spans="3:3" ht="41.25" customHeight="1" x14ac:dyDescent="0.15"/>
    <row r="8" spans="3:3" ht="41.25" customHeight="1" x14ac:dyDescent="0.15"/>
    <row r="9" spans="3:3" ht="41.25" customHeight="1" x14ac:dyDescent="0.15"/>
    <row r="10" spans="3:3" ht="41.25" customHeight="1" x14ac:dyDescent="0.15"/>
    <row r="11" spans="3:3" ht="41.25" customHeight="1" x14ac:dyDescent="0.15"/>
    <row r="12" spans="3:3" ht="41.25" customHeight="1" x14ac:dyDescent="0.15"/>
    <row r="13" spans="3:3" ht="41.25" customHeight="1" x14ac:dyDescent="0.15"/>
    <row r="14" spans="3:3" ht="41.25" customHeight="1" x14ac:dyDescent="0.15"/>
    <row r="15" spans="3:3" ht="41.25" customHeight="1" x14ac:dyDescent="0.15"/>
    <row r="16" spans="3:3" ht="41.25" customHeight="1" x14ac:dyDescent="0.15"/>
    <row r="17" ht="41.25" customHeight="1" x14ac:dyDescent="0.15"/>
    <row r="18" ht="41.25" customHeight="1" x14ac:dyDescent="0.15"/>
    <row r="19" ht="41.25" customHeight="1" x14ac:dyDescent="0.15"/>
    <row r="20" ht="41.25" customHeight="1" x14ac:dyDescent="0.15"/>
    <row r="21" ht="41.25" customHeight="1" x14ac:dyDescent="0.15"/>
    <row r="22" ht="41.25" customHeight="1" x14ac:dyDescent="0.15"/>
    <row r="23" ht="41.25" customHeight="1" x14ac:dyDescent="0.15"/>
    <row r="24" ht="41.25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cs_ExportCode">
                <anchor moveWithCells="1" sizeWithCells="1">
                  <from>
                    <xdr:col>3</xdr:col>
                    <xdr:colOff>0</xdr:colOff>
                    <xdr:row>0</xdr:row>
                    <xdr:rowOff>514350</xdr:rowOff>
                  </from>
                  <to>
                    <xdr:col>4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C29"/>
  <sheetViews>
    <sheetView topLeftCell="A7" workbookViewId="0">
      <selection activeCell="B26" sqref="B26"/>
    </sheetView>
  </sheetViews>
  <sheetFormatPr defaultRowHeight="13.5" x14ac:dyDescent="0.15"/>
  <cols>
    <col min="2" max="2" width="35.25" customWidth="1"/>
    <col min="3" max="3" width="22.5" customWidth="1"/>
  </cols>
  <sheetData>
    <row r="1" spans="1:3" ht="40.5" customHeight="1" x14ac:dyDescent="0.15">
      <c r="A1" t="s">
        <v>51</v>
      </c>
      <c r="B1" t="s">
        <v>90</v>
      </c>
      <c r="C1" t="s">
        <v>50</v>
      </c>
    </row>
    <row r="2" spans="1:3" x14ac:dyDescent="0.15">
      <c r="A2">
        <v>1</v>
      </c>
      <c r="B2" t="s">
        <v>187</v>
      </c>
      <c r="C2" s="33" t="s">
        <v>154</v>
      </c>
    </row>
    <row r="3" spans="1:3" x14ac:dyDescent="0.15">
      <c r="A3">
        <v>2</v>
      </c>
      <c r="B3" t="s">
        <v>189</v>
      </c>
      <c r="C3" s="33" t="s">
        <v>155</v>
      </c>
    </row>
    <row r="4" spans="1:3" x14ac:dyDescent="0.15">
      <c r="A4">
        <v>3</v>
      </c>
      <c r="B4" t="s">
        <v>113</v>
      </c>
      <c r="C4" s="33" t="s">
        <v>156</v>
      </c>
    </row>
    <row r="5" spans="1:3" x14ac:dyDescent="0.15">
      <c r="A5">
        <v>4</v>
      </c>
      <c r="B5" t="s">
        <v>114</v>
      </c>
      <c r="C5" s="33" t="s">
        <v>157</v>
      </c>
    </row>
    <row r="6" spans="1:3" x14ac:dyDescent="0.15">
      <c r="A6">
        <v>5</v>
      </c>
      <c r="B6" t="s">
        <v>115</v>
      </c>
      <c r="C6" s="33" t="s">
        <v>158</v>
      </c>
    </row>
    <row r="7" spans="1:3" x14ac:dyDescent="0.15">
      <c r="A7">
        <v>6</v>
      </c>
      <c r="B7" t="s">
        <v>116</v>
      </c>
      <c r="C7" s="33" t="s">
        <v>159</v>
      </c>
    </row>
    <row r="8" spans="1:3" x14ac:dyDescent="0.15">
      <c r="A8">
        <v>7</v>
      </c>
      <c r="B8" t="s">
        <v>117</v>
      </c>
      <c r="C8" s="33" t="s">
        <v>160</v>
      </c>
    </row>
    <row r="9" spans="1:3" x14ac:dyDescent="0.15">
      <c r="A9">
        <v>8</v>
      </c>
      <c r="B9" t="s">
        <v>118</v>
      </c>
      <c r="C9" s="33" t="s">
        <v>161</v>
      </c>
    </row>
    <row r="10" spans="1:3" x14ac:dyDescent="0.15">
      <c r="A10">
        <v>9</v>
      </c>
      <c r="B10" t="s">
        <v>119</v>
      </c>
      <c r="C10" s="33" t="s">
        <v>162</v>
      </c>
    </row>
    <row r="11" spans="1:3" x14ac:dyDescent="0.15">
      <c r="A11">
        <v>10</v>
      </c>
      <c r="B11" t="s">
        <v>120</v>
      </c>
      <c r="C11" s="33" t="s">
        <v>163</v>
      </c>
    </row>
    <row r="12" spans="1:3" x14ac:dyDescent="0.15">
      <c r="A12">
        <v>11</v>
      </c>
      <c r="B12" t="s">
        <v>121</v>
      </c>
      <c r="C12" s="33" t="s">
        <v>164</v>
      </c>
    </row>
    <row r="13" spans="1:3" x14ac:dyDescent="0.15">
      <c r="A13">
        <v>12</v>
      </c>
      <c r="B13" t="s">
        <v>122</v>
      </c>
      <c r="C13" s="33" t="s">
        <v>165</v>
      </c>
    </row>
    <row r="14" spans="1:3" x14ac:dyDescent="0.15">
      <c r="A14">
        <v>13</v>
      </c>
      <c r="B14" t="s">
        <v>123</v>
      </c>
      <c r="C14" s="33" t="s">
        <v>166</v>
      </c>
    </row>
    <row r="15" spans="1:3" x14ac:dyDescent="0.15">
      <c r="A15">
        <v>14</v>
      </c>
      <c r="B15" t="s">
        <v>124</v>
      </c>
      <c r="C15" s="33" t="s">
        <v>167</v>
      </c>
    </row>
    <row r="16" spans="1:3" x14ac:dyDescent="0.15">
      <c r="A16">
        <v>15</v>
      </c>
      <c r="B16" t="s">
        <v>125</v>
      </c>
      <c r="C16" s="33" t="s">
        <v>168</v>
      </c>
    </row>
    <row r="17" spans="1:3" x14ac:dyDescent="0.15">
      <c r="A17">
        <v>16</v>
      </c>
      <c r="B17" t="s">
        <v>126</v>
      </c>
      <c r="C17" s="33" t="s">
        <v>169</v>
      </c>
    </row>
    <row r="18" spans="1:3" x14ac:dyDescent="0.15">
      <c r="A18">
        <v>17</v>
      </c>
      <c r="B18" t="s">
        <v>127</v>
      </c>
      <c r="C18" s="33" t="s">
        <v>170</v>
      </c>
    </row>
    <row r="19" spans="1:3" x14ac:dyDescent="0.15">
      <c r="A19">
        <v>18</v>
      </c>
      <c r="B19" t="s">
        <v>128</v>
      </c>
      <c r="C19" s="33" t="s">
        <v>171</v>
      </c>
    </row>
    <row r="20" spans="1:3" x14ac:dyDescent="0.15">
      <c r="A20">
        <v>19</v>
      </c>
      <c r="B20" t="s">
        <v>129</v>
      </c>
      <c r="C20" s="33" t="s">
        <v>172</v>
      </c>
    </row>
    <row r="21" spans="1:3" x14ac:dyDescent="0.15">
      <c r="A21">
        <v>20</v>
      </c>
      <c r="B21" t="s">
        <v>130</v>
      </c>
      <c r="C21" s="33" t="s">
        <v>173</v>
      </c>
    </row>
    <row r="22" spans="1:3" x14ac:dyDescent="0.15">
      <c r="A22">
        <v>21</v>
      </c>
      <c r="B22" t="s">
        <v>131</v>
      </c>
      <c r="C22" s="33" t="s">
        <v>174</v>
      </c>
    </row>
    <row r="23" spans="1:3" x14ac:dyDescent="0.15">
      <c r="A23">
        <v>22</v>
      </c>
      <c r="B23" t="s">
        <v>190</v>
      </c>
      <c r="C23" s="33" t="s">
        <v>191</v>
      </c>
    </row>
    <row r="24" spans="1:3" x14ac:dyDescent="0.15">
      <c r="C24" s="33"/>
    </row>
    <row r="25" spans="1:3" x14ac:dyDescent="0.15">
      <c r="C25" s="33"/>
    </row>
    <row r="26" spans="1:3" x14ac:dyDescent="0.15">
      <c r="C26" s="33"/>
    </row>
    <row r="27" spans="1:3" x14ac:dyDescent="0.15">
      <c r="C27" s="33"/>
    </row>
    <row r="28" spans="1:3" x14ac:dyDescent="0.15">
      <c r="C28" s="33"/>
    </row>
    <row r="29" spans="1:3" x14ac:dyDescent="0.15">
      <c r="C29" s="33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/>
  <dimension ref="F1:H83"/>
  <sheetViews>
    <sheetView topLeftCell="E53" zoomScaleNormal="100" workbookViewId="0">
      <selection activeCell="J65" sqref="J65"/>
    </sheetView>
  </sheetViews>
  <sheetFormatPr defaultColWidth="9" defaultRowHeight="13.5" x14ac:dyDescent="0.15"/>
  <cols>
    <col min="1" max="4" width="0" style="1" hidden="1" customWidth="1"/>
    <col min="5" max="5" width="9" style="1"/>
    <col min="6" max="6" width="25.125" style="1" customWidth="1"/>
    <col min="7" max="7" width="56.75" style="1" customWidth="1"/>
    <col min="8" max="16384" width="9" style="1"/>
  </cols>
  <sheetData>
    <row r="1" spans="6:8" hidden="1" x14ac:dyDescent="0.15"/>
    <row r="2" spans="6:8" hidden="1" x14ac:dyDescent="0.15"/>
    <row r="3" spans="6:8" hidden="1" x14ac:dyDescent="0.15"/>
    <row r="4" spans="6:8" hidden="1" x14ac:dyDescent="0.15"/>
    <row r="5" spans="6:8" hidden="1" x14ac:dyDescent="0.15"/>
    <row r="6" spans="6:8" hidden="1" x14ac:dyDescent="0.15"/>
    <row r="7" spans="6:8" hidden="1" x14ac:dyDescent="0.15"/>
    <row r="9" spans="6:8" ht="16.5" x14ac:dyDescent="0.15">
      <c r="F9" s="5" t="s">
        <v>49</v>
      </c>
      <c r="G9" s="4" t="s">
        <v>198</v>
      </c>
    </row>
    <row r="11" spans="6:8" ht="16.5" x14ac:dyDescent="0.15">
      <c r="F11" s="5" t="s">
        <v>1</v>
      </c>
      <c r="G11" s="4" t="s">
        <v>199</v>
      </c>
    </row>
    <row r="12" spans="6:8" x14ac:dyDescent="0.15">
      <c r="F12" s="6"/>
      <c r="G12" s="2"/>
    </row>
    <row r="13" spans="6:8" ht="16.5" x14ac:dyDescent="0.15">
      <c r="F13" s="5" t="s">
        <v>43</v>
      </c>
      <c r="G13" s="4" t="s">
        <v>54</v>
      </c>
      <c r="H13" s="3" t="s">
        <v>0</v>
      </c>
    </row>
    <row r="14" spans="6:8" x14ac:dyDescent="0.15">
      <c r="F14" s="6"/>
      <c r="G14" s="2"/>
    </row>
    <row r="15" spans="6:8" ht="16.5" x14ac:dyDescent="0.15">
      <c r="F15" s="5" t="s">
        <v>44</v>
      </c>
      <c r="G15" s="4" t="s">
        <v>54</v>
      </c>
      <c r="H15" s="3" t="s">
        <v>0</v>
      </c>
    </row>
    <row r="16" spans="6:8" x14ac:dyDescent="0.15">
      <c r="F16" s="6"/>
      <c r="G16" s="2"/>
    </row>
    <row r="17" spans="6:8" ht="16.5" x14ac:dyDescent="0.15">
      <c r="F17" s="5" t="s">
        <v>7</v>
      </c>
      <c r="G17" s="4" t="s">
        <v>36</v>
      </c>
    </row>
    <row r="18" spans="6:8" x14ac:dyDescent="0.15">
      <c r="F18" s="6"/>
      <c r="G18" s="2"/>
    </row>
    <row r="19" spans="6:8" ht="16.5" x14ac:dyDescent="0.15">
      <c r="F19" s="5" t="s">
        <v>37</v>
      </c>
      <c r="G19" s="4" t="s">
        <v>35</v>
      </c>
    </row>
    <row r="20" spans="6:8" x14ac:dyDescent="0.15">
      <c r="F20" s="6"/>
      <c r="G20" s="2"/>
    </row>
    <row r="21" spans="6:8" ht="16.5" x14ac:dyDescent="0.15">
      <c r="F21" s="5" t="s">
        <v>57</v>
      </c>
      <c r="G21" s="4">
        <v>50</v>
      </c>
    </row>
    <row r="22" spans="6:8" x14ac:dyDescent="0.15">
      <c r="F22" s="6"/>
    </row>
    <row r="23" spans="6:8" ht="16.5" x14ac:dyDescent="0.15">
      <c r="F23" s="5" t="s">
        <v>22</v>
      </c>
      <c r="G23" s="4">
        <v>2</v>
      </c>
      <c r="H23" s="10" t="s">
        <v>24</v>
      </c>
    </row>
    <row r="24" spans="6:8" x14ac:dyDescent="0.15">
      <c r="F24" s="6"/>
    </row>
    <row r="25" spans="6:8" ht="16.5" x14ac:dyDescent="0.15">
      <c r="F25" s="5" t="s">
        <v>34</v>
      </c>
      <c r="G25" s="4" t="s">
        <v>48</v>
      </c>
    </row>
    <row r="26" spans="6:8" x14ac:dyDescent="0.15">
      <c r="F26" s="6"/>
    </row>
    <row r="27" spans="6:8" ht="16.5" x14ac:dyDescent="0.15">
      <c r="F27" s="5" t="s">
        <v>39</v>
      </c>
      <c r="G27" s="4" t="s">
        <v>38</v>
      </c>
    </row>
    <row r="28" spans="6:8" x14ac:dyDescent="0.15">
      <c r="F28" s="6"/>
    </row>
    <row r="29" spans="6:8" ht="16.5" x14ac:dyDescent="0.15">
      <c r="F29" s="5" t="s">
        <v>6</v>
      </c>
      <c r="G29" s="4" t="s">
        <v>3</v>
      </c>
    </row>
    <row r="30" spans="6:8" x14ac:dyDescent="0.15">
      <c r="F30" s="6"/>
    </row>
    <row r="31" spans="6:8" ht="16.5" x14ac:dyDescent="0.15">
      <c r="F31" s="5" t="s">
        <v>5</v>
      </c>
      <c r="G31" s="4" t="s">
        <v>4</v>
      </c>
    </row>
    <row r="32" spans="6:8" x14ac:dyDescent="0.15">
      <c r="F32" s="6"/>
    </row>
    <row r="33" spans="6:8" ht="16.5" x14ac:dyDescent="0.15">
      <c r="F33" s="5" t="s">
        <v>9</v>
      </c>
      <c r="G33" s="4" t="s">
        <v>10</v>
      </c>
    </row>
    <row r="34" spans="6:8" x14ac:dyDescent="0.15">
      <c r="F34" s="6"/>
    </row>
    <row r="35" spans="6:8" ht="16.5" x14ac:dyDescent="0.15">
      <c r="F35" s="5" t="s">
        <v>11</v>
      </c>
      <c r="G35" s="4" t="s">
        <v>12</v>
      </c>
    </row>
    <row r="36" spans="6:8" x14ac:dyDescent="0.15">
      <c r="F36" s="6"/>
    </row>
    <row r="37" spans="6:8" ht="16.5" x14ac:dyDescent="0.15">
      <c r="F37" s="5" t="s">
        <v>56</v>
      </c>
      <c r="G37" s="4">
        <v>7</v>
      </c>
    </row>
    <row r="38" spans="6:8" x14ac:dyDescent="0.15">
      <c r="F38" s="6"/>
    </row>
    <row r="39" spans="6:8" ht="16.5" x14ac:dyDescent="0.15">
      <c r="F39" s="5" t="s">
        <v>71</v>
      </c>
      <c r="G39" s="4">
        <v>7</v>
      </c>
    </row>
    <row r="40" spans="6:8" x14ac:dyDescent="0.15">
      <c r="F40" s="6"/>
    </row>
    <row r="41" spans="6:8" ht="16.5" x14ac:dyDescent="0.15">
      <c r="F41" s="5" t="s">
        <v>76</v>
      </c>
      <c r="G41" s="4" t="s">
        <v>176</v>
      </c>
      <c r="H41" s="3" t="s">
        <v>0</v>
      </c>
    </row>
    <row r="42" spans="6:8" x14ac:dyDescent="0.15">
      <c r="F42" s="6"/>
    </row>
    <row r="43" spans="6:8" ht="16.5" x14ac:dyDescent="0.15">
      <c r="F43" s="5" t="s">
        <v>77</v>
      </c>
      <c r="G43" s="4" t="s">
        <v>54</v>
      </c>
      <c r="H43" s="3" t="s">
        <v>0</v>
      </c>
    </row>
    <row r="44" spans="6:8" x14ac:dyDescent="0.15">
      <c r="F44" s="6"/>
    </row>
    <row r="45" spans="6:8" ht="16.5" x14ac:dyDescent="0.15">
      <c r="F45" s="5" t="s">
        <v>73</v>
      </c>
      <c r="G45" s="4">
        <v>9</v>
      </c>
    </row>
    <row r="46" spans="6:8" x14ac:dyDescent="0.15">
      <c r="F46" s="6"/>
    </row>
    <row r="47" spans="6:8" ht="16.5" x14ac:dyDescent="0.15">
      <c r="F47" s="5" t="s">
        <v>72</v>
      </c>
      <c r="G47" s="4">
        <v>10</v>
      </c>
    </row>
    <row r="48" spans="6:8" x14ac:dyDescent="0.15">
      <c r="F48" s="6"/>
    </row>
    <row r="49" spans="6:7" ht="16.5" x14ac:dyDescent="0.15">
      <c r="F49" s="5" t="s">
        <v>74</v>
      </c>
      <c r="G49" s="4">
        <v>11</v>
      </c>
    </row>
    <row r="50" spans="6:7" x14ac:dyDescent="0.15">
      <c r="F50" s="6"/>
    </row>
    <row r="51" spans="6:7" ht="16.5" x14ac:dyDescent="0.15">
      <c r="F51" s="5" t="s">
        <v>75</v>
      </c>
      <c r="G51" s="4">
        <v>12</v>
      </c>
    </row>
    <row r="52" spans="6:7" x14ac:dyDescent="0.15">
      <c r="F52" s="6"/>
    </row>
    <row r="53" spans="6:7" ht="16.5" x14ac:dyDescent="0.15">
      <c r="F53" s="5" t="s">
        <v>46</v>
      </c>
      <c r="G53" s="4">
        <v>15</v>
      </c>
    </row>
    <row r="54" spans="6:7" x14ac:dyDescent="0.15">
      <c r="F54" s="6"/>
    </row>
    <row r="55" spans="6:7" ht="16.5" x14ac:dyDescent="0.15">
      <c r="F55" s="5" t="s">
        <v>47</v>
      </c>
      <c r="G55" s="4">
        <v>9</v>
      </c>
    </row>
    <row r="56" spans="6:7" x14ac:dyDescent="0.15">
      <c r="F56" s="6"/>
    </row>
    <row r="57" spans="6:7" ht="16.5" x14ac:dyDescent="0.15">
      <c r="F57" s="5" t="s">
        <v>23</v>
      </c>
      <c r="G57" s="4">
        <v>2</v>
      </c>
    </row>
    <row r="58" spans="6:7" x14ac:dyDescent="0.15">
      <c r="F58" s="6"/>
    </row>
    <row r="59" spans="6:7" ht="16.5" x14ac:dyDescent="0.15">
      <c r="F59" s="5" t="s">
        <v>45</v>
      </c>
      <c r="G59" s="4">
        <v>4</v>
      </c>
    </row>
    <row r="60" spans="6:7" x14ac:dyDescent="0.15">
      <c r="F60" s="6"/>
    </row>
    <row r="61" spans="6:7" ht="16.5" x14ac:dyDescent="0.15">
      <c r="F61" s="5" t="s">
        <v>53</v>
      </c>
      <c r="G61" s="4">
        <v>19</v>
      </c>
    </row>
    <row r="62" spans="6:7" x14ac:dyDescent="0.15">
      <c r="F62" s="6"/>
    </row>
    <row r="63" spans="6:7" ht="16.5" x14ac:dyDescent="0.15">
      <c r="F63" s="5" t="s">
        <v>2</v>
      </c>
      <c r="G63" s="4">
        <v>9</v>
      </c>
    </row>
    <row r="64" spans="6:7" x14ac:dyDescent="0.15">
      <c r="F64" s="6"/>
    </row>
    <row r="65" spans="6:8" ht="16.5" x14ac:dyDescent="0.15">
      <c r="F65" s="5" t="s">
        <v>8</v>
      </c>
      <c r="G65" s="4">
        <v>8</v>
      </c>
    </row>
    <row r="66" spans="6:8" x14ac:dyDescent="0.15">
      <c r="F66" s="6"/>
    </row>
    <row r="67" spans="6:8" ht="16.5" x14ac:dyDescent="0.15">
      <c r="F67" s="5" t="s">
        <v>52</v>
      </c>
      <c r="G67" s="4">
        <v>4</v>
      </c>
    </row>
    <row r="69" spans="6:8" ht="16.5" x14ac:dyDescent="0.15">
      <c r="F69" s="5" t="s">
        <v>69</v>
      </c>
      <c r="G69" s="4" t="s">
        <v>25</v>
      </c>
    </row>
    <row r="71" spans="6:8" ht="16.5" x14ac:dyDescent="0.15">
      <c r="F71" s="5" t="s">
        <v>193</v>
      </c>
      <c r="G71" s="4" t="s">
        <v>197</v>
      </c>
      <c r="H71" s="39" t="s">
        <v>194</v>
      </c>
    </row>
    <row r="73" spans="6:8" ht="16.5" x14ac:dyDescent="0.15">
      <c r="F73" s="5" t="s">
        <v>202</v>
      </c>
      <c r="G73" s="4" t="s">
        <v>54</v>
      </c>
      <c r="H73" s="3" t="s">
        <v>0</v>
      </c>
    </row>
    <row r="75" spans="6:8" ht="16.5" x14ac:dyDescent="0.15">
      <c r="F75" s="5" t="s">
        <v>93</v>
      </c>
      <c r="G75" s="4" t="s">
        <v>67</v>
      </c>
    </row>
    <row r="77" spans="6:8" ht="16.5" x14ac:dyDescent="0.15">
      <c r="F77" s="5" t="s">
        <v>94</v>
      </c>
      <c r="G77" s="4" t="s">
        <v>107</v>
      </c>
    </row>
    <row r="79" spans="6:8" ht="16.5" x14ac:dyDescent="0.15">
      <c r="F79" s="5" t="s">
        <v>101</v>
      </c>
      <c r="G79" s="4" t="s">
        <v>102</v>
      </c>
    </row>
    <row r="81" spans="6:7" ht="16.5" x14ac:dyDescent="0.15">
      <c r="F81" s="5" t="s">
        <v>103</v>
      </c>
      <c r="G81" s="4" t="s">
        <v>104</v>
      </c>
    </row>
    <row r="83" spans="6:7" ht="16.5" x14ac:dyDescent="0.15">
      <c r="F83" s="5" t="s">
        <v>188</v>
      </c>
      <c r="G83" s="4" t="s">
        <v>102</v>
      </c>
    </row>
  </sheetData>
  <sheetProtection selectLockedCells="1" selectUnlockedCell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/>
  <dimension ref="C6:E12"/>
  <sheetViews>
    <sheetView zoomScale="85" zoomScaleNormal="85" workbookViewId="0">
      <selection activeCell="D7" sqref="D7"/>
    </sheetView>
  </sheetViews>
  <sheetFormatPr defaultColWidth="9" defaultRowHeight="13.5" x14ac:dyDescent="0.15"/>
  <cols>
    <col min="1" max="2" width="5.75" style="18" customWidth="1"/>
    <col min="3" max="3" width="23.375" style="18" customWidth="1"/>
    <col min="4" max="4" width="30.25" style="18" customWidth="1"/>
    <col min="5" max="16384" width="9" style="18"/>
  </cols>
  <sheetData>
    <row r="6" spans="3:5" ht="16.5" x14ac:dyDescent="0.15">
      <c r="C6" s="5" t="s">
        <v>64</v>
      </c>
      <c r="D6" s="4" t="s">
        <v>203</v>
      </c>
      <c r="E6" s="19" t="s">
        <v>100</v>
      </c>
    </row>
    <row r="8" spans="3:5" x14ac:dyDescent="0.15">
      <c r="E8" s="19"/>
    </row>
    <row r="12" spans="3:5" x14ac:dyDescent="0.15">
      <c r="E12" s="19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B1:C5"/>
  <sheetViews>
    <sheetView workbookViewId="0">
      <selection activeCell="A8" sqref="A8"/>
    </sheetView>
  </sheetViews>
  <sheetFormatPr defaultRowHeight="13.5" x14ac:dyDescent="0.15"/>
  <cols>
    <col min="2" max="2" width="11.625" bestFit="1" customWidth="1"/>
    <col min="3" max="3" width="16.375" customWidth="1"/>
  </cols>
  <sheetData>
    <row r="1" spans="2:3" x14ac:dyDescent="0.15">
      <c r="B1" t="s">
        <v>79</v>
      </c>
      <c r="C1" t="s">
        <v>80</v>
      </c>
    </row>
    <row r="2" spans="2:3" x14ac:dyDescent="0.15">
      <c r="B2" s="20"/>
      <c r="C2" t="s">
        <v>96</v>
      </c>
    </row>
    <row r="3" spans="2:3" x14ac:dyDescent="0.15">
      <c r="B3" s="20"/>
      <c r="C3" t="s">
        <v>97</v>
      </c>
    </row>
    <row r="4" spans="2:3" x14ac:dyDescent="0.15">
      <c r="C4" t="s">
        <v>98</v>
      </c>
    </row>
    <row r="5" spans="2:3" x14ac:dyDescent="0.15">
      <c r="C5" t="s">
        <v>105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B3:C18"/>
  <sheetViews>
    <sheetView workbookViewId="0">
      <selection activeCell="F16" sqref="F16"/>
    </sheetView>
  </sheetViews>
  <sheetFormatPr defaultColWidth="9" defaultRowHeight="16.5" x14ac:dyDescent="0.15"/>
  <cols>
    <col min="1" max="1" width="9" style="21"/>
    <col min="2" max="2" width="17.875" style="21" customWidth="1"/>
    <col min="3" max="16384" width="9" style="21"/>
  </cols>
  <sheetData>
    <row r="3" spans="2:2" ht="32.25" customHeight="1" x14ac:dyDescent="0.15"/>
    <row r="4" spans="2:2" x14ac:dyDescent="0.15">
      <c r="B4" s="22" t="s">
        <v>81</v>
      </c>
    </row>
    <row r="5" spans="2:2" x14ac:dyDescent="0.15">
      <c r="B5" s="21" t="s">
        <v>186</v>
      </c>
    </row>
    <row r="7" spans="2:2" x14ac:dyDescent="0.15">
      <c r="B7" s="22" t="s">
        <v>138</v>
      </c>
    </row>
    <row r="8" spans="2:2" x14ac:dyDescent="0.15">
      <c r="B8" s="21" t="s">
        <v>82</v>
      </c>
    </row>
    <row r="9" spans="2:2" x14ac:dyDescent="0.15">
      <c r="B9" s="21" t="s">
        <v>83</v>
      </c>
    </row>
    <row r="10" spans="2:2" x14ac:dyDescent="0.15">
      <c r="B10" s="21" t="s">
        <v>84</v>
      </c>
    </row>
    <row r="12" spans="2:2" x14ac:dyDescent="0.15">
      <c r="B12" s="22" t="s">
        <v>139</v>
      </c>
    </row>
    <row r="13" spans="2:2" x14ac:dyDescent="0.15">
      <c r="B13" s="21" t="s">
        <v>140</v>
      </c>
    </row>
    <row r="14" spans="2:2" x14ac:dyDescent="0.15">
      <c r="B14" s="21" t="s">
        <v>141</v>
      </c>
    </row>
    <row r="15" spans="2:2" x14ac:dyDescent="0.15">
      <c r="B15" s="21" t="s">
        <v>142</v>
      </c>
    </row>
    <row r="17" spans="2:3" x14ac:dyDescent="0.15">
      <c r="B17" s="22" t="s">
        <v>85</v>
      </c>
    </row>
    <row r="18" spans="2:3" x14ac:dyDescent="0.15">
      <c r="B18" s="21" t="s">
        <v>86</v>
      </c>
      <c r="C18" s="21" t="s">
        <v>200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core_screen</vt:lpstr>
      <vt:lpstr>core_if</vt:lpstr>
      <vt:lpstr>core_count</vt:lpstr>
      <vt:lpstr>core_log</vt:lpstr>
      <vt:lpstr>core_engine_setup</vt:lpstr>
      <vt:lpstr>core_ACAK_setup</vt:lpstr>
      <vt:lpstr>core_homepage</vt:lpstr>
      <vt:lpstr>core_ifcamp</vt:lpstr>
      <vt:lpstr>core_homepage_setup</vt:lpstr>
      <vt:lpstr>core_plugin</vt:lpstr>
      <vt:lpstr>core_debug</vt:lpstr>
      <vt:lpstr>core_actions</vt:lpstr>
      <vt:lpstr>core_setup</vt:lpstr>
      <vt:lpstr>core_display_setup</vt:lpstr>
      <vt:lpstr>core_changelog</vt:lpstr>
      <vt:lpstr>core_about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NOVO</dc:creator>
  <cp:lastModifiedBy>sdupjj</cp:lastModifiedBy>
  <dcterms:created xsi:type="dcterms:W3CDTF">2017-11-26T11:41:00Z</dcterms:created>
  <dcterms:modified xsi:type="dcterms:W3CDTF">2019-01-06T07:09:29Z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013f521-439d-4e48-8e98-41ab6c596aa7_Enabled">
    <vt:lpwstr>True</vt:lpwstr>
  </property>
  <property fmtid="{D5CDD505-2E9C-101B-9397-08002B2CF9AE}" pid="3" name="MSIP_Label_6013f521-439d-4e48-8e98-41ab6c596aa7_SiteId">
    <vt:lpwstr>12f921d8-f30d-4596-a652-7045b338485a</vt:lpwstr>
  </property>
  <property fmtid="{D5CDD505-2E9C-101B-9397-08002B2CF9AE}" pid="4" name="MSIP_Label_6013f521-439d-4e48-8e98-41ab6c596aa7_Owner">
    <vt:lpwstr>JiaJian.Pan@siemensgamesa.com</vt:lpwstr>
  </property>
  <property fmtid="{D5CDD505-2E9C-101B-9397-08002B2CF9AE}" pid="5" name="MSIP_Label_6013f521-439d-4e48-8e98-41ab6c596aa7_SetDate">
    <vt:lpwstr>2018-12-19T02:30:15.5860402Z</vt:lpwstr>
  </property>
  <property fmtid="{D5CDD505-2E9C-101B-9397-08002B2CF9AE}" pid="6" name="MSIP_Label_6013f521-439d-4e48-8e98-41ab6c596aa7_Name">
    <vt:lpwstr>Restricted</vt:lpwstr>
  </property>
  <property fmtid="{D5CDD505-2E9C-101B-9397-08002B2CF9AE}" pid="7" name="MSIP_Label_6013f521-439d-4e48-8e98-41ab6c596aa7_Application">
    <vt:lpwstr>Microsoft Azure Information Protection</vt:lpwstr>
  </property>
  <property fmtid="{D5CDD505-2E9C-101B-9397-08002B2CF9AE}" pid="8" name="MSIP_Label_6013f521-439d-4e48-8e98-41ab6c596aa7_Extended_MSFT_Method">
    <vt:lpwstr>Automatic</vt:lpwstr>
  </property>
  <property fmtid="{D5CDD505-2E9C-101B-9397-08002B2CF9AE}" pid="9" name="Sensitivity">
    <vt:lpwstr>Restricted</vt:lpwstr>
  </property>
</Properties>
</file>